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80" yWindow="1545" windowWidth="14070" windowHeight="8880" tabRatio="720" activeTab="5"/>
  </bookViews>
  <sheets>
    <sheet name="INFRASTRUKTUR" sheetId="16" r:id="rId1"/>
    <sheet name="KEAMANAN" sheetId="18" r:id="rId2"/>
    <sheet name="KESELAMATAN" sheetId="20" r:id="rId3"/>
    <sheet name="KESEHATAN" sheetId="22" r:id="rId4"/>
    <sheet name="SISTEM PAM" sheetId="17" r:id="rId5"/>
    <sheet name="INFORMASI" sheetId="19" r:id="rId6"/>
    <sheet name="Skor Final" sheetId="14" r:id="rId7"/>
  </sheets>
  <definedNames>
    <definedName name="_xlnm.Print_Area" localSheetId="6">'Skor Final'!$B$1:$E$17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7" l="1"/>
  <c r="F37" i="17"/>
  <c r="F36" i="17"/>
  <c r="F35" i="17"/>
  <c r="F32" i="17"/>
  <c r="F31" i="17"/>
  <c r="F30" i="17"/>
  <c r="F29" i="17"/>
  <c r="F27" i="17"/>
  <c r="F26" i="17"/>
  <c r="F25" i="17"/>
  <c r="F24" i="17"/>
  <c r="F22" i="17"/>
  <c r="F21" i="17"/>
  <c r="F20" i="17"/>
  <c r="F18" i="17"/>
  <c r="F17" i="17"/>
  <c r="F16" i="17"/>
  <c r="F14" i="17"/>
  <c r="F13" i="17"/>
  <c r="F10" i="17"/>
  <c r="F9" i="17"/>
  <c r="F8" i="17"/>
  <c r="F7" i="17"/>
  <c r="F27" i="18"/>
  <c r="F31" i="18"/>
  <c r="F30" i="18"/>
  <c r="F29" i="18"/>
  <c r="F28" i="18"/>
  <c r="F26" i="18"/>
  <c r="F25" i="18"/>
  <c r="F24" i="18"/>
  <c r="F23" i="18"/>
  <c r="F22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16" i="19"/>
  <c r="F15" i="19"/>
  <c r="F14" i="19"/>
  <c r="F13" i="19"/>
  <c r="F12" i="19"/>
  <c r="F11" i="19"/>
  <c r="F10" i="19"/>
  <c r="F9" i="19"/>
  <c r="F8" i="19"/>
  <c r="F7" i="19"/>
  <c r="F24" i="22"/>
  <c r="F25" i="22"/>
  <c r="F23" i="22"/>
  <c r="F22" i="22"/>
  <c r="F21" i="22"/>
  <c r="F18" i="22"/>
  <c r="F17" i="22"/>
  <c r="F16" i="22"/>
  <c r="F15" i="22"/>
  <c r="F12" i="22"/>
  <c r="F11" i="22"/>
  <c r="F10" i="22"/>
  <c r="F9" i="22"/>
  <c r="F8" i="22"/>
  <c r="F7" i="22"/>
  <c r="F33" i="20"/>
  <c r="F32" i="20"/>
  <c r="F31" i="20"/>
  <c r="F30" i="20"/>
  <c r="F29" i="20"/>
  <c r="F28" i="20"/>
  <c r="F27" i="20"/>
  <c r="F26" i="20"/>
  <c r="F25" i="20"/>
  <c r="F24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47" i="16"/>
  <c r="F46" i="16"/>
  <c r="F45" i="16"/>
  <c r="F44" i="16"/>
  <c r="F43" i="16"/>
  <c r="F42" i="16"/>
  <c r="F41" i="16"/>
  <c r="F40" i="16"/>
  <c r="F39" i="16"/>
  <c r="F38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3" i="22" l="1"/>
  <c r="F19" i="22"/>
  <c r="F26" i="22"/>
  <c r="F32" i="18"/>
  <c r="F20" i="18"/>
  <c r="F17" i="19"/>
  <c r="E9" i="14" s="1"/>
  <c r="F39" i="17"/>
  <c r="F11" i="17"/>
  <c r="F33" i="17"/>
  <c r="F22" i="20"/>
  <c r="F48" i="16"/>
  <c r="F34" i="20"/>
  <c r="F36" i="16"/>
  <c r="F27" i="22" l="1"/>
  <c r="E7" i="14" s="1"/>
  <c r="F33" i="18"/>
  <c r="E5" i="14" s="1"/>
  <c r="F40" i="17"/>
  <c r="E8" i="14" s="1"/>
  <c r="F49" i="16"/>
  <c r="E4" i="14" s="1"/>
  <c r="F35" i="20"/>
  <c r="E6" i="14" s="1"/>
  <c r="E10" i="14" l="1"/>
  <c r="D10" i="14"/>
  <c r="E11" i="14" l="1"/>
</calcChain>
</file>

<file path=xl/sharedStrings.xml><?xml version="1.0" encoding="utf-8"?>
<sst xmlns="http://schemas.openxmlformats.org/spreadsheetml/2006/main" count="272" uniqueCount="201">
  <si>
    <t>Pencapaian Nilai Kriteria (0,1,2)</t>
  </si>
  <si>
    <t>Pencapaian Nilai Elemen</t>
  </si>
  <si>
    <t>Referensi Dokumen/Rekaman</t>
  </si>
  <si>
    <t>Sub Total</t>
  </si>
  <si>
    <t xml:space="preserve"> </t>
  </si>
  <si>
    <t>86% - 100%</t>
  </si>
  <si>
    <t>Baik Sekali (Kategori Emas)</t>
  </si>
  <si>
    <t>71% - 85%</t>
  </si>
  <si>
    <t>Baik (Kategori Perak)</t>
  </si>
  <si>
    <t>56% - 70%</t>
  </si>
  <si>
    <t>Cukup (Kategori Perunggu)</t>
  </si>
  <si>
    <t>&lt; 55%</t>
  </si>
  <si>
    <t>Kurang (Tindakan Pembinaan untuk Perbaikan)</t>
  </si>
  <si>
    <t>Elemen</t>
  </si>
  <si>
    <t>Penjelasan</t>
  </si>
  <si>
    <t>Bobot</t>
  </si>
  <si>
    <t>Pencapaian</t>
  </si>
  <si>
    <t>Total</t>
  </si>
  <si>
    <t>Kategori</t>
  </si>
  <si>
    <t>Temuan</t>
  </si>
  <si>
    <t>Rekomendasi</t>
  </si>
  <si>
    <t>Kriteria</t>
  </si>
  <si>
    <t>Bobot Elemen</t>
  </si>
  <si>
    <t>A</t>
  </si>
  <si>
    <t>B</t>
  </si>
  <si>
    <t>ANALISA RISIKO KEAMANAN</t>
  </si>
  <si>
    <t>PROSEDUR PETUGAS MEDIS</t>
  </si>
  <si>
    <t>INFORMASI</t>
  </si>
  <si>
    <t>Ruang Kesehatan</t>
  </si>
  <si>
    <t>Jalur keluar masuk dan evakuasi</t>
  </si>
  <si>
    <t>Area parkir</t>
  </si>
  <si>
    <t>Jalur kendaraan</t>
  </si>
  <si>
    <t>Jalur dan fasilitas disabilitas</t>
  </si>
  <si>
    <t>Alarm tanda bahaya</t>
  </si>
  <si>
    <t>Kendaraan evakuasi medis</t>
  </si>
  <si>
    <t>Kendaraan Patroli</t>
  </si>
  <si>
    <t>Perambuan HSSE (Keamanan dan Keselamatan)</t>
  </si>
  <si>
    <t>Terdapat analisa risiko</t>
  </si>
  <si>
    <t>Terdapat penilaian risiko</t>
  </si>
  <si>
    <t>PELAKSANAAN KEGIATAN PAM</t>
  </si>
  <si>
    <t>Melaksanakan sistem pengamanan melalui:</t>
  </si>
  <si>
    <t>Konfigurasi pengamanan</t>
  </si>
  <si>
    <t>Monitoring dan evaluasi</t>
  </si>
  <si>
    <t>Terdapat SOP penanggulangan terorisme dan sabotas</t>
  </si>
  <si>
    <r>
      <t xml:space="preserve">Ruang </t>
    </r>
    <r>
      <rPr>
        <i/>
        <sz val="12"/>
        <rFont val="Calibri"/>
        <family val="2"/>
        <scheme val="minor"/>
      </rPr>
      <t>Power Supply</t>
    </r>
  </si>
  <si>
    <r>
      <t>Jalur pedestrian/</t>
    </r>
    <r>
      <rPr>
        <i/>
        <sz val="12"/>
        <rFont val="Calibri"/>
        <family val="2"/>
        <scheme val="minor"/>
      </rPr>
      <t>assembling point</t>
    </r>
  </si>
  <si>
    <r>
      <rPr>
        <i/>
        <sz val="12"/>
        <rFont val="Calibri"/>
        <family val="2"/>
        <scheme val="minor"/>
      </rPr>
      <t>Fire system</t>
    </r>
    <r>
      <rPr>
        <sz val="12"/>
        <rFont val="Calibri"/>
        <family val="2"/>
        <scheme val="minor"/>
      </rPr>
      <t xml:space="preserve"> (</t>
    </r>
    <r>
      <rPr>
        <i/>
        <sz val="12"/>
        <rFont val="Calibri"/>
        <family val="2"/>
        <scheme val="minor"/>
      </rPr>
      <t>hydrant system</t>
    </r>
    <r>
      <rPr>
        <sz val="12"/>
        <rFont val="Calibri"/>
        <family val="2"/>
        <scheme val="minor"/>
      </rPr>
      <t xml:space="preserve"> dan Apar)</t>
    </r>
  </si>
  <si>
    <r>
      <t>Genset/</t>
    </r>
    <r>
      <rPr>
        <i/>
        <sz val="12"/>
        <rFont val="Calibri"/>
        <family val="2"/>
        <scheme val="minor"/>
      </rPr>
      <t>Power Supply</t>
    </r>
  </si>
  <si>
    <r>
      <t xml:space="preserve">Terdapat SOP penanggulangan manajemen </t>
    </r>
    <r>
      <rPr>
        <i/>
        <sz val="12"/>
        <rFont val="Calibri"/>
        <family val="2"/>
        <scheme val="minor"/>
      </rPr>
      <t>crowded</t>
    </r>
    <r>
      <rPr>
        <sz val="12"/>
        <rFont val="Calibri"/>
        <family val="2"/>
        <scheme val="minor"/>
      </rPr>
      <t xml:space="preserve"> dan darurat</t>
    </r>
  </si>
  <si>
    <t>ASPEK INFRASTRUKTUR</t>
  </si>
  <si>
    <t>Lampu lapangan/venue</t>
  </si>
  <si>
    <t>Standar pelaksanaan pengamanan:</t>
  </si>
  <si>
    <t>KETUA TIM</t>
  </si>
  <si>
    <t>A.</t>
  </si>
  <si>
    <t>B.</t>
  </si>
  <si>
    <t>Terdapat analisa data potensi gangguan</t>
  </si>
  <si>
    <t>ASPEK KESEHATAN</t>
  </si>
  <si>
    <t>ASPEK KESELAMATAN</t>
  </si>
  <si>
    <t>ASPEK INFORMASI</t>
  </si>
  <si>
    <t>SKOR FINAL</t>
  </si>
  <si>
    <t>Referensi Dokumen/ Rekaman</t>
  </si>
  <si>
    <t>KELAIKAN GEDUNG/VENUE</t>
  </si>
  <si>
    <t>Pos Penjagaan Utama/Depan</t>
  </si>
  <si>
    <t>Pos Penjagaan Belakang/Samping</t>
  </si>
  <si>
    <t>Pos Bagian Dalam Objek</t>
  </si>
  <si>
    <t>Menara Pantau</t>
  </si>
  <si>
    <t>Ruang Monitoring Center/Kontrol</t>
  </si>
  <si>
    <t>Rambu/Tanda-tanda peringatan</t>
  </si>
  <si>
    <t>PROSEDUR  PELAKSANA PENGAMANAN</t>
  </si>
  <si>
    <t>Terdapat SOP terhadap manajemen pelaksana pengamanan</t>
  </si>
  <si>
    <t xml:space="preserve">Terdapat SOP manajemen petugas medis terhadap penanganan Staf dan Pengunjung </t>
  </si>
  <si>
    <t>Terdapat SOP manajemen petugas medis terhadap penanganan Staf dan Pengunjung saat terjadi kontijensi/kedaruratan</t>
  </si>
  <si>
    <t>Kelayakan dan perawatan berkala terhadap sarana permainan/wahana/venue</t>
  </si>
  <si>
    <t>ASPEK KEAMANAN PADA SISTEM PENGAMANAN</t>
  </si>
  <si>
    <t>C</t>
  </si>
  <si>
    <t>Terdapat nomor telpon pengaduan/pelaporan kedaruratan</t>
  </si>
  <si>
    <t>PETUGAS KESELAMATAN</t>
  </si>
  <si>
    <t>kesesuaian jumlah petugas keselamatan dengan area kawasan</t>
  </si>
  <si>
    <t>Simulasi/latihan penanganan kedaruratan secara terpadu</t>
  </si>
  <si>
    <t>SAFETY MANAGER…....</t>
  </si>
  <si>
    <t>…....... , ….. …............ …....</t>
  </si>
  <si>
    <t>NAMA</t>
  </si>
  <si>
    <t>PANGKAT/NRP</t>
  </si>
  <si>
    <t>AB</t>
  </si>
  <si>
    <r>
      <t xml:space="preserve">Terdapat SOP manajemen petugas medis dalam penanganan </t>
    </r>
    <r>
      <rPr>
        <i/>
        <sz val="12"/>
        <rFont val="Calibri"/>
        <family val="2"/>
        <scheme val="minor"/>
      </rPr>
      <t>VIP/VVIP</t>
    </r>
  </si>
  <si>
    <t>Kelayakan dan perawatan berkala terhadap sarana/peralatan pengamanan</t>
  </si>
  <si>
    <t>pengamanan dilaksanakan selama 24 jam</t>
  </si>
  <si>
    <t xml:space="preserve">menyediakan sarana pelaporan bagi pengunjung/karyawan </t>
  </si>
  <si>
    <t xml:space="preserve">ASPEK KEAMANAN </t>
  </si>
  <si>
    <t>PELAYANAN KEAMANAN</t>
  </si>
  <si>
    <t>Kelayakan dan perawatan berkala terhadap sarana kesehatan yang disiapkan pengelola objek</t>
  </si>
  <si>
    <t>terdapat Peralatan petugas kesehatan yang sesuai dengan potensi gangguan kesehatan pada pengunjung</t>
  </si>
  <si>
    <t xml:space="preserve">sistem Pencahayaan </t>
  </si>
  <si>
    <t>Ruang Media/monitoring</t>
  </si>
  <si>
    <t xml:space="preserve">Memiliki pagar pembatas dan Gerbang Masuk </t>
  </si>
  <si>
    <t>KELENGKAPAN HOTEL</t>
  </si>
  <si>
    <t>Sarana komunikasi (HP, Handy Talky, videotron, intercome, Public address)</t>
  </si>
  <si>
    <t>sistem CCTV</t>
  </si>
  <si>
    <t>Terdapat jadwal petugas pengamanan sesuai ketentuan yang berlaku</t>
  </si>
  <si>
    <t>Penempatan peralatan petugas keamanan pada objek sesaui dengan kerawanan</t>
  </si>
  <si>
    <t>Terdapat Job Discription bagi seluruh komponen pengamanan</t>
  </si>
  <si>
    <t>memiliki struktur organisasi petugas pengamanan</t>
  </si>
  <si>
    <t>Jalur komunikasi terhadap Satuan Kepolsiian terdekat</t>
  </si>
  <si>
    <t>terdapat SOP penggunaan peralatan keamanan</t>
  </si>
  <si>
    <t>Terdapat SOP kecepatan merespon dalam pelayanan keamanan</t>
  </si>
  <si>
    <t>sistem pelaporan melalui pencatatan mutasi kegiatan dan peristiwa menonjol</t>
  </si>
  <si>
    <t>menyediakan peralatan keamanan berupa perlengkapan perorangan</t>
  </si>
  <si>
    <t>prosedur terhadap pemeriksaan kendaraan dan orang yang masuk dan keluar area</t>
  </si>
  <si>
    <t xml:space="preserve">Pelayanan Petugas Keamanan bersertifikat sesuai standar kualifikasinya </t>
  </si>
  <si>
    <t>terdapat SOP pengamanan bagi karyawan selain petugas pengamanan</t>
  </si>
  <si>
    <t>ASPEK KESELAMATAN (WAHANA/VENUE WISATA YANG DISEDIAKAN)</t>
  </si>
  <si>
    <t>Penempatan wahana/venue sesuai dengan standar keselamatan</t>
  </si>
  <si>
    <t>Peralatan/Sarana Prasarana petugas keselamatan sesuai objek</t>
  </si>
  <si>
    <t>terdapat pos pantau dengan posisi strategis bagi petugas keselamatan</t>
  </si>
  <si>
    <t>Perawatan berkala dan penyimpanan, serta penempatan peralatan keselamatan sesuai dengan potensi ancaman</t>
  </si>
  <si>
    <t>dokumen uji kelayakan wahana/venue dari instansi yang berhak</t>
  </si>
  <si>
    <t>menyediakan peralatan keselamatan bagi pengunjung sesuai objek dan kapasitas pengunjung</t>
  </si>
  <si>
    <t>aksesibilitas bagi penyandang difabel</t>
  </si>
  <si>
    <t>petunjuk arah dan denah lokasi wahana/venue</t>
  </si>
  <si>
    <t>SOP/KONSIGNES bagi pengunjung Objek/Venue bilamana terjadi kedaruratan</t>
  </si>
  <si>
    <t>PELAYANAN SISTEM KESELAMATAN</t>
  </si>
  <si>
    <t>Sarana peringatan/informasi tentang situasi bahaya/kedaruratan yang mudah diakses/direspon oleh pengunjung</t>
  </si>
  <si>
    <t>SOP/KONSIGNES bagi staf dan pengujung Objek/Venue bilamana terjadi kedaruratan</t>
  </si>
  <si>
    <t>dilakukan patroli dan monitoring SOP/Konsignes bagi staf dan pengunjung untuk mematuhi ketentuan keselamatan dan kedaruratan</t>
  </si>
  <si>
    <t>pendokumentasian peristiwa kecelakaan dan gangguan keselamatan yang pernah terjadi</t>
  </si>
  <si>
    <t>dokumen analisa dan evaluasi hasil penanganan kecelakaan dan upaya pencegahannya</t>
  </si>
  <si>
    <t>PELAYANAN KESEHATAN</t>
  </si>
  <si>
    <t>Terdapat prosedur disinfectan dan fogging pada benda-benda dan tempat-tempat yang berpotensi menjadi sarang penyakit</t>
  </si>
  <si>
    <t xml:space="preserve">Rencana tindakan pertama hingga evakuasi dan RS rujukan terhadap staf dan pengujung </t>
  </si>
  <si>
    <t>menyediakan peralatan kesehatan bagi staf dan pengunjung</t>
  </si>
  <si>
    <t>pelatihan pertolongan pertama terhadap gangguan kesehatan oleh petugas kesehatan dan staf</t>
  </si>
  <si>
    <t>PROSEDUR KESEHATAN</t>
  </si>
  <si>
    <t>Miliki saluran pembuangan/sanitari sesuai dengan stadar kesehatan</t>
  </si>
  <si>
    <t>Memiliki Sistem pembuangan Sampah dengan benar dan area pembuangan yang dijaga kebersihannya untuk mencegah timbulnya penyakit</t>
  </si>
  <si>
    <t>Terdapat pengolahan limbah dapur dan pengolahan air kotor</t>
  </si>
  <si>
    <t>pengecekan kualitas air bersih secara berkala</t>
  </si>
  <si>
    <t>prosedur pemisahan sampah organik, non organik dan sampah medis sesuai standar kesehatan</t>
  </si>
  <si>
    <t>Terdapat catatan peristiwa gangguan keamanan yang terdomkumentasi secara tertib dan lengkap</t>
  </si>
  <si>
    <t>memiliki kebijakan keamanan yang jelas yang mencakup prosedur untuk menangani insiden keamanan, kehilangan barang, dan tindakan darurat.</t>
  </si>
  <si>
    <t>Dilengkapi penggunaan kartu kunci elektronik yang dapat diaktifkan atau dinonaktifkan sesuai dengan status tamu dan area yang diizinkan</t>
  </si>
  <si>
    <t>Terdapat sistem yang membatasi akses ke area tertentu hanya untuk staf yang berwenang, seperti ruang mesin, gudang, atau area layanan</t>
  </si>
  <si>
    <t>PENGENDALIAN AKSES</t>
  </si>
  <si>
    <t>Seluruh staf mengetahui prosedur untuk melaporkan insiden keamanan atau kejadian mencurigakan kepada manajemen atau pihak berwenang.</t>
  </si>
  <si>
    <t>monitoring dan pengawasan terhadap akses terbatas melalui penggunaan CCTV dan sistem alarm</t>
  </si>
  <si>
    <t>menyediakan peralatan sarana khusus  berupa alat scaning atau Satwa Pelacak yang bersertifikat  sesuai standar dan ketentuan yang berlaku</t>
  </si>
  <si>
    <t>Terdapat sistem informasi yang bersifat segera/mendesak beurupa alarm Peringatan/larangan/tanda bahaya</t>
  </si>
  <si>
    <t>roling/pergantian bergilir petugas patroli yang disesuaikan dengan luas area dan potensi ancaman</t>
  </si>
  <si>
    <t>Memiliki parameter pembatas dengan lingkungan sekitar</t>
  </si>
  <si>
    <t>Pos bagian penurunan barang/loading dock</t>
  </si>
  <si>
    <t>Menara pantau area parkir</t>
  </si>
  <si>
    <r>
      <t>Toilet/</t>
    </r>
    <r>
      <rPr>
        <i/>
        <sz val="12"/>
        <rFont val="Calibri"/>
        <family val="2"/>
        <scheme val="minor"/>
      </rPr>
      <t>restroom</t>
    </r>
    <r>
      <rPr>
        <sz val="12"/>
        <rFont val="Calibri"/>
        <family val="2"/>
        <scheme val="minor"/>
      </rPr>
      <t xml:space="preserve"> pada ruang publik</t>
    </r>
  </si>
  <si>
    <t>Tempat penampungan dan pengolahan limbah air kotor</t>
  </si>
  <si>
    <t>terdapat sarana pendukung terhadap wahana/venue utama sebagai bagian dari sistem keselamatan bagi pengunjung</t>
  </si>
  <si>
    <t>terapat batas yang aman antara venue/wahana dengan petugas/pengunjung</t>
  </si>
  <si>
    <t>Pelayanan Petugas Keselamatan memiliki kualifikasi sesuai dengan jenis/lokasi venue/wahana yang disediakan (Keselamatan air, Keselamatan vertikal/Ketinggian/Kedalaman, Pawang binatang, Teknisi permainan tertentu, dll) yang dibuktikan dengan sertifikat/keterangan telah mengikuti pelatihan</t>
  </si>
  <si>
    <t>terdapat SOP untuk mengendalikan dan melakukan tindakan pertama terhadap pelanggaran/situasi darurat sebagai akibat dari kesalahan penggunaan akses</t>
  </si>
  <si>
    <t>Terdapat sarana dan sumber informasi yang mudah diakses oleh staf dan pengunjung</t>
  </si>
  <si>
    <t>Terdapat media informasi secara visual bagi staf dan pengunjung (video tron, media sosial dan rambu petunjuk dan papan pengumuman)</t>
  </si>
  <si>
    <t>terdapat sarana penyampaian informasi segera yang bersumber dari staf/pengunjung</t>
  </si>
  <si>
    <t>tersedia sarana pengaduan dari pengunjung</t>
  </si>
  <si>
    <t>terdapat sarana komunikasi atar staf dalam penyampaian informasi yang bersifat internal</t>
  </si>
  <si>
    <t>perawatan dan pemeliharaan terhadap sarana informasi secara berkala dan sesaui standar</t>
  </si>
  <si>
    <t>terdapat SOP terhadap penyampaian informasi yang meliputi keakuratan, ketepatan waktu dan keotentikan sumber informasi</t>
  </si>
  <si>
    <t>dilakukan pembaruan informasi sesuai perkembangan situasi dan kondisi serta kebutuhan</t>
  </si>
  <si>
    <t>ASPEK SISTEM PENGAMANAN</t>
  </si>
  <si>
    <t>Jalur evakusi VIP/VVIP (kendaraan darat, perairan dan udara)</t>
  </si>
  <si>
    <t>Fasilitas bagi Difabel</t>
  </si>
  <si>
    <t>tempat penitipan barang</t>
  </si>
  <si>
    <t>Area Foodcort</t>
  </si>
  <si>
    <t>menyediakan peralatan pemeriksaan kendaraan dan badan yang masuk dan keluar area</t>
  </si>
  <si>
    <t>Batas/Rambu peringatan zona berbahaya/terlarang yang mudah terlihat dan mudah dipahami oleh pengunjung/petugas/karyawan/staf</t>
  </si>
  <si>
    <t>SOP Pembatasan pengunjung sesaui kapsitas wahana/venue</t>
  </si>
  <si>
    <t>memiliki SOP tentang penyelamatan dan pertolongan pertama</t>
  </si>
  <si>
    <t>memiliki SOP tentang jaring komando dan permintaan bantuan</t>
  </si>
  <si>
    <t>Prosedur evakuasi dan tanggap darurat yang jelas dan dapat diakses oleh pengunjung serta staf.</t>
  </si>
  <si>
    <t xml:space="preserve">Pelayanan Petugas Kesehatan sesuai standar/bersertifikat sesuai kualifikasinya </t>
  </si>
  <si>
    <t>Adanya pengendalian risiko melalui Rencana Pengamanan yang tersutruktur</t>
  </si>
  <si>
    <t>adanya pola pengamanan (Pam) yang terdiri dari bentuk dan sifat Pam terbuka dan tertutup</t>
  </si>
  <si>
    <t>a</t>
  </si>
  <si>
    <t>terdapat sarana dan area Pam, meliputi manusia dan fasilitas Pam</t>
  </si>
  <si>
    <t>terselenggaranya Komando dan pengendalian dalam dinamika Ops Sispam</t>
  </si>
  <si>
    <t>b</t>
  </si>
  <si>
    <t>c</t>
  </si>
  <si>
    <t>tersedianya komponen pengamanan (Pam Internal) yang terstruktur</t>
  </si>
  <si>
    <t>terdapat penetapan dan pembinaan area pengamanan (area bebas, area terbatas, area terlarang)</t>
  </si>
  <si>
    <t>adanya konsep umum Pam serta ketersediaan personel Pam dan Sarpas yang cukup memadai</t>
  </si>
  <si>
    <t>memiliki kopetensi sesuai dengan objek pengamanan dan resiko tugas</t>
  </si>
  <si>
    <t>memiliki komitmen dalam tugas</t>
  </si>
  <si>
    <t xml:space="preserve"> Memiliki sikap humanis beretika dan tegas</t>
  </si>
  <si>
    <t>Sertifikasi sesuai bidang tugas/keahlian</t>
  </si>
  <si>
    <t>d</t>
  </si>
  <si>
    <t>Breefing/arahan dari atasan/pimpinan</t>
  </si>
  <si>
    <t xml:space="preserve">melaksanakan konsolidasi </t>
  </si>
  <si>
    <t>membuat laporan tertulis dan evaluasi</t>
  </si>
  <si>
    <t>KORPS SAMAPTA BHAYANGKARA BAHARKAM POLRI</t>
  </si>
  <si>
    <t>DIREKTORAT PAMOBVIT</t>
  </si>
  <si>
    <t>DAFTAR PENILAIAN RISIKO OBJEK WISATA</t>
  </si>
  <si>
    <r>
      <t xml:space="preserve">ALAMAT   </t>
    </r>
    <r>
      <rPr>
        <b/>
        <sz val="11"/>
        <color theme="1"/>
        <rFont val="Arial"/>
        <family val="2"/>
      </rPr>
      <t xml:space="preserve">   </t>
    </r>
    <r>
      <rPr>
        <b/>
        <sz val="9"/>
        <color theme="1"/>
        <rFont val="Arial"/>
        <family val="2"/>
      </rPr>
      <t xml:space="preserve">   </t>
    </r>
    <r>
      <rPr>
        <b/>
        <sz val="10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            :</t>
    </r>
  </si>
  <si>
    <t>NAMA OBJEK WISATA  :</t>
  </si>
  <si>
    <t>ASPEK  KESEHATAN</t>
  </si>
  <si>
    <t>pengamanan dilakukan dibagian depan (loby),  bagian belakang (loadingdok) dan pintu masuk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</si>
</sst>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00000000000000%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0" fillId="0" borderId="0"/>
    <xf numFmtId="0" fontId="17" fillId="0" borderId="0">
      <alignment vertical="center"/>
    </xf>
    <xf numFmtId="0" fontId="17" fillId="0" borderId="0"/>
  </cellStyleXfs>
  <cellXfs count="158">
    <xf numFmtId="0" fontId="0" fillId="0" borderId="0" xfId="0"/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10" fontId="11" fillId="0" borderId="17" xfId="0" applyNumberFormat="1" applyFont="1" applyBorder="1"/>
    <xf numFmtId="10" fontId="11" fillId="0" borderId="18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0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10" fontId="0" fillId="0" borderId="2" xfId="2" applyNumberFormat="1" applyFont="1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10" fontId="11" fillId="0" borderId="17" xfId="0" applyNumberFormat="1" applyFont="1" applyBorder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10" xfId="2" applyNumberFormat="1" applyFont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1" xfId="0" quotePrefix="1" applyFont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2" fillId="3" borderId="1" xfId="0" applyFont="1" applyFill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justify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justify" vertical="center" wrapText="1"/>
    </xf>
    <xf numFmtId="0" fontId="19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/>
    </xf>
    <xf numFmtId="0" fontId="19" fillId="0" borderId="1" xfId="0" applyFont="1" applyBorder="1" applyAlignment="1">
      <alignment vertical="center"/>
    </xf>
    <xf numFmtId="10" fontId="19" fillId="0" borderId="1" xfId="2" applyNumberFormat="1" applyFont="1" applyBorder="1" applyAlignment="1">
      <alignment horizontal="left" vertical="center" wrapText="1"/>
    </xf>
    <xf numFmtId="10" fontId="19" fillId="0" borderId="1" xfId="2" applyNumberFormat="1" applyFont="1" applyFill="1" applyBorder="1" applyAlignment="1">
      <alignment horizontal="left" vertical="center" wrapText="1"/>
    </xf>
    <xf numFmtId="0" fontId="23" fillId="0" borderId="0" xfId="0" applyFont="1"/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10" fontId="22" fillId="3" borderId="1" xfId="2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vertical="center" wrapText="1"/>
    </xf>
    <xf numFmtId="10" fontId="22" fillId="5" borderId="1" xfId="2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10" fontId="19" fillId="4" borderId="1" xfId="2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10" fontId="19" fillId="5" borderId="1" xfId="2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10" fontId="19" fillId="4" borderId="1" xfId="2" applyNumberFormat="1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right" vertical="center" wrapText="1"/>
    </xf>
    <xf numFmtId="10" fontId="22" fillId="6" borderId="1" xfId="2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right" vertical="center" wrapText="1"/>
    </xf>
    <xf numFmtId="10" fontId="19" fillId="3" borderId="1" xfId="2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right" vertical="center" wrapText="1"/>
    </xf>
    <xf numFmtId="10" fontId="19" fillId="7" borderId="1" xfId="2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10" fontId="19" fillId="6" borderId="1" xfId="2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justify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justify" vertical="center" wrapText="1"/>
    </xf>
    <xf numFmtId="0" fontId="19" fillId="8" borderId="1" xfId="0" applyFont="1" applyFill="1" applyBorder="1" applyAlignment="1">
      <alignment horizontal="right" vertical="center" wrapText="1"/>
    </xf>
    <xf numFmtId="10" fontId="19" fillId="8" borderId="1" xfId="2" applyNumberFormat="1" applyFont="1" applyFill="1" applyBorder="1" applyAlignment="1">
      <alignment horizontal="center" vertical="center" wrapText="1"/>
    </xf>
    <xf numFmtId="10" fontId="19" fillId="8" borderId="1" xfId="2" applyNumberFormat="1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justify" vertical="center" wrapText="1"/>
    </xf>
    <xf numFmtId="9" fontId="22" fillId="5" borderId="1" xfId="0" applyNumberFormat="1" applyFont="1" applyFill="1" applyBorder="1" applyAlignment="1">
      <alignment horizontal="center" vertical="center" wrapText="1"/>
    </xf>
    <xf numFmtId="10" fontId="22" fillId="4" borderId="1" xfId="2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65" fontId="15" fillId="0" borderId="0" xfId="0" applyNumberFormat="1" applyFont="1"/>
    <xf numFmtId="0" fontId="15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7" fillId="0" borderId="9" xfId="0" applyFont="1" applyBorder="1"/>
    <xf numFmtId="10" fontId="0" fillId="0" borderId="22" xfId="2" applyNumberFormat="1" applyFont="1" applyBorder="1" applyAlignment="1">
      <alignment horizontal="center"/>
    </xf>
    <xf numFmtId="9" fontId="22" fillId="0" borderId="21" xfId="0" applyNumberFormat="1" applyFont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right" vertical="center" wrapText="1"/>
    </xf>
    <xf numFmtId="10" fontId="22" fillId="9" borderId="1" xfId="2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10" fontId="19" fillId="10" borderId="1" xfId="2" applyNumberFormat="1" applyFont="1" applyFill="1" applyBorder="1" applyAlignment="1">
      <alignment horizontal="center" vertical="center" wrapText="1"/>
    </xf>
    <xf numFmtId="10" fontId="19" fillId="10" borderId="1" xfId="2" applyNumberFormat="1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justify" vertical="center"/>
    </xf>
    <xf numFmtId="0" fontId="19" fillId="10" borderId="1" xfId="0" applyFont="1" applyFill="1" applyBorder="1" applyAlignment="1">
      <alignment vertical="center"/>
    </xf>
    <xf numFmtId="0" fontId="21" fillId="10" borderId="1" xfId="0" applyFont="1" applyFill="1" applyBorder="1" applyAlignment="1">
      <alignment horizontal="justify" vertical="center" wrapText="1"/>
    </xf>
    <xf numFmtId="0" fontId="6" fillId="0" borderId="9" xfId="0" applyFont="1" applyBorder="1"/>
    <xf numFmtId="0" fontId="2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vertical="center" wrapText="1"/>
    </xf>
    <xf numFmtId="10" fontId="19" fillId="9" borderId="1" xfId="2" applyNumberFormat="1" applyFont="1" applyFill="1" applyBorder="1" applyAlignment="1">
      <alignment horizontal="center" vertical="center" wrapText="1"/>
    </xf>
    <xf numFmtId="0" fontId="5" fillId="0" borderId="0" xfId="0" applyFont="1"/>
    <xf numFmtId="9" fontId="22" fillId="0" borderId="2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164" fontId="19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19" fillId="6" borderId="1" xfId="1" applyNumberFormat="1" applyFont="1" applyFill="1" applyBorder="1" applyAlignment="1">
      <alignment vertical="center" wrapText="1"/>
    </xf>
    <xf numFmtId="164" fontId="22" fillId="5" borderId="1" xfId="1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9" xfId="0" applyFont="1" applyBorder="1"/>
    <xf numFmtId="0" fontId="2" fillId="0" borderId="9" xfId="0" applyFont="1" applyBorder="1"/>
    <xf numFmtId="9" fontId="22" fillId="0" borderId="1" xfId="0" applyNumberFormat="1" applyFont="1" applyBorder="1" applyAlignment="1">
      <alignment horizontal="center" vertical="center" wrapText="1"/>
    </xf>
    <xf numFmtId="0" fontId="26" fillId="0" borderId="0" xfId="0" applyFont="1"/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9" fillId="0" borderId="1" xfId="0" applyFont="1" applyBorder="1" applyAlignment="1">
      <alignment horizontal="right" vertical="center"/>
    </xf>
    <xf numFmtId="0" fontId="19" fillId="4" borderId="1" xfId="0" applyFont="1" applyFill="1" applyBorder="1" applyAlignment="1">
      <alignment horizontal="right" vertical="center"/>
    </xf>
    <xf numFmtId="0" fontId="27" fillId="0" borderId="0" xfId="0" applyFont="1" applyAlignment="1">
      <alignment horizontal="center" wrapText="1"/>
    </xf>
    <xf numFmtId="0" fontId="29" fillId="0" borderId="0" xfId="0" applyFont="1" applyAlignment="1">
      <alignment wrapText="1"/>
    </xf>
    <xf numFmtId="0" fontId="22" fillId="3" borderId="1" xfId="0" applyFont="1" applyFill="1" applyBorder="1" applyAlignment="1">
      <alignment horizontal="center" vertical="center" wrapText="1"/>
    </xf>
    <xf numFmtId="9" fontId="22" fillId="0" borderId="19" xfId="0" applyNumberFormat="1" applyFont="1" applyBorder="1" applyAlignment="1">
      <alignment horizontal="center" vertical="center" wrapText="1"/>
    </xf>
    <xf numFmtId="9" fontId="22" fillId="0" borderId="20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27" fillId="0" borderId="0" xfId="0" applyFont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9" fillId="0" borderId="0" xfId="0" applyFont="1" applyAlignment="1">
      <alignment horizontal="left" wrapText="1"/>
    </xf>
    <xf numFmtId="9" fontId="22" fillId="0" borderId="21" xfId="0" applyNumberFormat="1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2" fillId="3" borderId="2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/>
    <xf numFmtId="0" fontId="11" fillId="0" borderId="0" xfId="0" applyFont="1" applyAlignment="1">
      <alignment horizontal="center"/>
    </xf>
  </cellXfs>
  <cellStyles count="6">
    <cellStyle name="Comma" xfId="1" builtinId="3"/>
    <cellStyle name="Normal" xfId="0" builtinId="0"/>
    <cellStyle name="Normal 2" xfId="3"/>
    <cellStyle name="Normal 2 2" xfId="5"/>
    <cellStyle name="Normal 3 2" xfId="4"/>
    <cellStyle name="Percent" xfId="2" builtinId="5"/>
  </cellStyles>
  <dxfs count="13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969696"/>
      <color rgb="FF80808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topLeftCell="A28" zoomScale="60" zoomScaleNormal="60" workbookViewId="0">
      <selection activeCell="E38" sqref="E38:E47"/>
    </sheetView>
  </sheetViews>
  <sheetFormatPr defaultColWidth="9.140625" defaultRowHeight="15"/>
  <cols>
    <col min="1" max="1" width="8.7109375" style="117" customWidth="1"/>
    <col min="2" max="2" width="13.7109375" style="117" customWidth="1"/>
    <col min="3" max="3" width="5.7109375" style="117" customWidth="1"/>
    <col min="4" max="4" width="57.7109375" style="117" customWidth="1"/>
    <col min="5" max="6" width="17.7109375" style="117" customWidth="1"/>
    <col min="7" max="7" width="35.7109375" style="117" customWidth="1"/>
    <col min="8" max="8" width="50.7109375" style="117" customWidth="1"/>
    <col min="9" max="9" width="55.7109375" style="117" customWidth="1"/>
    <col min="10" max="16384" width="9.140625" style="117"/>
  </cols>
  <sheetData>
    <row r="2" spans="2:9" ht="27.75" customHeight="1">
      <c r="B2" s="146" t="s">
        <v>194</v>
      </c>
      <c r="C2" s="146"/>
      <c r="D2" s="146"/>
    </row>
    <row r="3" spans="2:9" ht="21" customHeight="1">
      <c r="B3" s="147" t="s">
        <v>195</v>
      </c>
      <c r="C3" s="147"/>
      <c r="D3" s="147"/>
    </row>
    <row r="4" spans="2:9" ht="21" customHeight="1">
      <c r="B4" s="140"/>
      <c r="C4" s="140"/>
      <c r="D4" s="140"/>
    </row>
    <row r="5" spans="2:9" ht="21" customHeight="1">
      <c r="B5" s="146" t="s">
        <v>196</v>
      </c>
      <c r="C5" s="146"/>
      <c r="D5" s="146"/>
      <c r="E5" s="146"/>
      <c r="F5" s="146"/>
      <c r="G5" s="146"/>
      <c r="H5" s="146"/>
      <c r="I5" s="146"/>
    </row>
    <row r="7" spans="2:9" ht="15.75" customHeight="1">
      <c r="B7" s="148" t="s">
        <v>198</v>
      </c>
      <c r="C7" s="148"/>
      <c r="D7" s="148"/>
      <c r="E7" s="148"/>
      <c r="F7" s="148"/>
      <c r="G7" s="148"/>
      <c r="H7" s="148"/>
    </row>
    <row r="8" spans="2:9" ht="15.75" customHeight="1">
      <c r="B8" s="141" t="s">
        <v>197</v>
      </c>
      <c r="C8" s="141"/>
      <c r="D8" s="141"/>
    </row>
    <row r="9" spans="2:9" ht="45" customHeight="1">
      <c r="B9" s="145" t="s">
        <v>49</v>
      </c>
      <c r="C9" s="145"/>
      <c r="D9" s="145"/>
    </row>
    <row r="10" spans="2:9" ht="31.5">
      <c r="B10" s="31" t="s">
        <v>22</v>
      </c>
      <c r="C10" s="142" t="s">
        <v>21</v>
      </c>
      <c r="D10" s="142"/>
      <c r="E10" s="31" t="s">
        <v>0</v>
      </c>
      <c r="F10" s="31" t="s">
        <v>1</v>
      </c>
      <c r="G10" s="31" t="s">
        <v>60</v>
      </c>
      <c r="H10" s="31" t="s">
        <v>19</v>
      </c>
      <c r="I10" s="31" t="s">
        <v>20</v>
      </c>
    </row>
    <row r="11" spans="2:9" ht="15.75">
      <c r="B11" s="41"/>
      <c r="C11" s="41" t="s">
        <v>53</v>
      </c>
      <c r="D11" s="52" t="s">
        <v>61</v>
      </c>
      <c r="E11" s="41"/>
      <c r="F11" s="41"/>
      <c r="G11" s="41"/>
      <c r="H11" s="41"/>
      <c r="I11" s="41"/>
    </row>
    <row r="12" spans="2:9" ht="30" customHeight="1">
      <c r="B12" s="143">
        <v>0.12</v>
      </c>
      <c r="C12" s="118">
        <v>1</v>
      </c>
      <c r="D12" s="35" t="s">
        <v>147</v>
      </c>
      <c r="E12" s="43">
        <v>0</v>
      </c>
      <c r="F12" s="48">
        <f>SUM(B12*E12)/48</f>
        <v>0</v>
      </c>
      <c r="G12" s="39"/>
      <c r="H12" s="27"/>
      <c r="I12" s="27"/>
    </row>
    <row r="13" spans="2:9" ht="30" customHeight="1">
      <c r="B13" s="144"/>
      <c r="C13" s="118">
        <v>2</v>
      </c>
      <c r="D13" s="35" t="s">
        <v>94</v>
      </c>
      <c r="E13" s="43">
        <v>0</v>
      </c>
      <c r="F13" s="48">
        <f>SUM(B12*E13)/48</f>
        <v>0</v>
      </c>
      <c r="G13" s="39"/>
      <c r="H13" s="27"/>
      <c r="I13" s="27"/>
    </row>
    <row r="14" spans="2:9" ht="30" customHeight="1">
      <c r="B14" s="144"/>
      <c r="C14" s="118">
        <v>3</v>
      </c>
      <c r="D14" s="35" t="s">
        <v>62</v>
      </c>
      <c r="E14" s="43">
        <v>0</v>
      </c>
      <c r="F14" s="48">
        <f>SUM(B12*E14)/48</f>
        <v>0</v>
      </c>
      <c r="G14" s="38"/>
      <c r="H14" s="27"/>
      <c r="I14" s="27"/>
    </row>
    <row r="15" spans="2:9" ht="30" customHeight="1">
      <c r="B15" s="144"/>
      <c r="C15" s="118">
        <v>4</v>
      </c>
      <c r="D15" s="35" t="s">
        <v>63</v>
      </c>
      <c r="E15" s="43">
        <v>0</v>
      </c>
      <c r="F15" s="48">
        <f>SUM(B12*E15)/48</f>
        <v>0</v>
      </c>
      <c r="G15" s="38"/>
      <c r="H15" s="27"/>
      <c r="I15" s="27"/>
    </row>
    <row r="16" spans="2:9" ht="30" customHeight="1">
      <c r="B16" s="144"/>
      <c r="C16" s="118">
        <v>5</v>
      </c>
      <c r="D16" s="35" t="s">
        <v>148</v>
      </c>
      <c r="E16" s="43">
        <v>0</v>
      </c>
      <c r="F16" s="48">
        <f>SUM(B12*E16)/48</f>
        <v>0</v>
      </c>
      <c r="G16" s="38"/>
      <c r="H16" s="27"/>
      <c r="I16" s="27"/>
    </row>
    <row r="17" spans="2:9" ht="30" customHeight="1">
      <c r="B17" s="144"/>
      <c r="C17" s="118">
        <v>6</v>
      </c>
      <c r="D17" s="35" t="s">
        <v>64</v>
      </c>
      <c r="E17" s="43">
        <v>0</v>
      </c>
      <c r="F17" s="48">
        <f>SUM(B12*E17)/48</f>
        <v>0</v>
      </c>
      <c r="G17" s="38"/>
      <c r="H17" s="27"/>
      <c r="I17" s="27"/>
    </row>
    <row r="18" spans="2:9" ht="30" customHeight="1">
      <c r="B18" s="144"/>
      <c r="C18" s="118">
        <v>7</v>
      </c>
      <c r="D18" s="35" t="s">
        <v>65</v>
      </c>
      <c r="E18" s="43">
        <v>0</v>
      </c>
      <c r="F18" s="48">
        <f>SUM(B12*E18)/48</f>
        <v>0</v>
      </c>
      <c r="G18" s="38"/>
      <c r="H18" s="27"/>
      <c r="I18" s="27"/>
    </row>
    <row r="19" spans="2:9" ht="30" customHeight="1">
      <c r="B19" s="144"/>
      <c r="C19" s="118">
        <v>8</v>
      </c>
      <c r="D19" s="35" t="s">
        <v>28</v>
      </c>
      <c r="E19" s="43">
        <v>0</v>
      </c>
      <c r="F19" s="48">
        <f>SUM(B12*E19)/48</f>
        <v>0</v>
      </c>
      <c r="G19" s="38"/>
      <c r="H19" s="32"/>
      <c r="I19" s="27"/>
    </row>
    <row r="20" spans="2:9" ht="30" customHeight="1">
      <c r="B20" s="144"/>
      <c r="C20" s="118">
        <v>9</v>
      </c>
      <c r="D20" s="35" t="s">
        <v>66</v>
      </c>
      <c r="E20" s="43">
        <v>0</v>
      </c>
      <c r="F20" s="48">
        <f>SUM(B12*E20)/48</f>
        <v>0</v>
      </c>
      <c r="G20" s="38"/>
      <c r="H20" s="27"/>
      <c r="I20" s="27"/>
    </row>
    <row r="21" spans="2:9" ht="30" customHeight="1">
      <c r="B21" s="144"/>
      <c r="C21" s="118">
        <v>10</v>
      </c>
      <c r="D21" s="35" t="s">
        <v>67</v>
      </c>
      <c r="E21" s="43">
        <v>0</v>
      </c>
      <c r="F21" s="48">
        <f>SUM(B12*E21)/48</f>
        <v>0</v>
      </c>
      <c r="G21" s="119"/>
      <c r="H21" s="27"/>
      <c r="I21" s="27"/>
    </row>
    <row r="22" spans="2:9" ht="30" customHeight="1">
      <c r="B22" s="144"/>
      <c r="C22" s="118">
        <v>11</v>
      </c>
      <c r="D22" s="35" t="s">
        <v>92</v>
      </c>
      <c r="E22" s="43">
        <v>0</v>
      </c>
      <c r="F22" s="48">
        <f>SUM(B12*E22)/48</f>
        <v>0</v>
      </c>
      <c r="G22" s="119"/>
      <c r="H22" s="35"/>
      <c r="I22" s="27"/>
    </row>
    <row r="23" spans="2:9" ht="30" customHeight="1">
      <c r="B23" s="144"/>
      <c r="C23" s="118">
        <v>12</v>
      </c>
      <c r="D23" s="35" t="s">
        <v>44</v>
      </c>
      <c r="E23" s="43">
        <v>0</v>
      </c>
      <c r="F23" s="48">
        <f>SUM(B12*E23)/48</f>
        <v>0</v>
      </c>
      <c r="G23" s="119"/>
      <c r="H23" s="35"/>
      <c r="I23" s="27"/>
    </row>
    <row r="24" spans="2:9" ht="30" customHeight="1">
      <c r="B24" s="144"/>
      <c r="C24" s="118">
        <v>13</v>
      </c>
      <c r="D24" s="35" t="s">
        <v>166</v>
      </c>
      <c r="E24" s="43">
        <v>0</v>
      </c>
      <c r="F24" s="48">
        <f>SUM(B12*E24)/48</f>
        <v>0</v>
      </c>
      <c r="G24" s="119"/>
      <c r="H24" s="35"/>
      <c r="I24" s="27"/>
    </row>
    <row r="25" spans="2:9" ht="30" customHeight="1">
      <c r="B25" s="144"/>
      <c r="C25" s="118">
        <v>14</v>
      </c>
      <c r="D25" s="35" t="s">
        <v>29</v>
      </c>
      <c r="E25" s="43">
        <v>0</v>
      </c>
      <c r="F25" s="48">
        <f>SUM(B12*E25)/48</f>
        <v>0</v>
      </c>
      <c r="G25" s="119"/>
      <c r="H25" s="35"/>
      <c r="I25" s="27"/>
    </row>
    <row r="26" spans="2:9" ht="30" customHeight="1">
      <c r="B26" s="144"/>
      <c r="C26" s="118">
        <v>15</v>
      </c>
      <c r="D26" s="35" t="s">
        <v>30</v>
      </c>
      <c r="E26" s="43">
        <v>0</v>
      </c>
      <c r="F26" s="48">
        <f>SUM(B12*E26)/48</f>
        <v>0</v>
      </c>
      <c r="G26" s="119"/>
      <c r="H26" s="35"/>
      <c r="I26" s="27"/>
    </row>
    <row r="27" spans="2:9" ht="30" customHeight="1">
      <c r="B27" s="144"/>
      <c r="C27" s="118">
        <v>16</v>
      </c>
      <c r="D27" s="35" t="s">
        <v>149</v>
      </c>
      <c r="E27" s="43">
        <v>0</v>
      </c>
      <c r="F27" s="48">
        <f>SUM(B12*E27)/48</f>
        <v>0</v>
      </c>
      <c r="G27" s="119"/>
      <c r="H27" s="35"/>
      <c r="I27" s="27"/>
    </row>
    <row r="28" spans="2:9" ht="30" customHeight="1">
      <c r="B28" s="144"/>
      <c r="C28" s="118">
        <v>17</v>
      </c>
      <c r="D28" s="35" t="s">
        <v>31</v>
      </c>
      <c r="E28" s="43">
        <v>0</v>
      </c>
      <c r="F28" s="48">
        <f>SUM(B12*E28)/48</f>
        <v>0</v>
      </c>
      <c r="G28" s="119"/>
      <c r="H28" s="35"/>
      <c r="I28" s="27"/>
    </row>
    <row r="29" spans="2:9" ht="30" customHeight="1">
      <c r="B29" s="144"/>
      <c r="C29" s="118">
        <v>18</v>
      </c>
      <c r="D29" s="35" t="s">
        <v>45</v>
      </c>
      <c r="E29" s="43">
        <v>0</v>
      </c>
      <c r="F29" s="48">
        <f>SUM(B12*E29)/48</f>
        <v>0</v>
      </c>
      <c r="G29" s="119"/>
      <c r="H29" s="35"/>
      <c r="I29" s="27"/>
    </row>
    <row r="30" spans="2:9" ht="30" customHeight="1">
      <c r="B30" s="144"/>
      <c r="C30" s="118">
        <v>19</v>
      </c>
      <c r="D30" s="35" t="s">
        <v>32</v>
      </c>
      <c r="E30" s="43">
        <v>0</v>
      </c>
      <c r="F30" s="48">
        <f>SUM(B12*E30)/48</f>
        <v>0</v>
      </c>
      <c r="G30" s="119"/>
      <c r="H30" s="35"/>
      <c r="I30" s="28"/>
    </row>
    <row r="31" spans="2:9" ht="30" customHeight="1">
      <c r="B31" s="144"/>
      <c r="C31" s="118">
        <v>20</v>
      </c>
      <c r="D31" s="35" t="s">
        <v>150</v>
      </c>
      <c r="E31" s="43">
        <v>0</v>
      </c>
      <c r="F31" s="48">
        <f>SUM(B12*E31)/48</f>
        <v>0</v>
      </c>
      <c r="G31" s="119"/>
      <c r="H31" s="35"/>
      <c r="I31" s="28"/>
    </row>
    <row r="32" spans="2:9" ht="30" customHeight="1">
      <c r="B32" s="144"/>
      <c r="C32" s="118">
        <v>21</v>
      </c>
      <c r="D32" s="35" t="s">
        <v>167</v>
      </c>
      <c r="E32" s="43">
        <v>0</v>
      </c>
      <c r="F32" s="48">
        <f>SUM(B12*E32)/48</f>
        <v>0</v>
      </c>
      <c r="G32" s="119"/>
      <c r="H32" s="35"/>
      <c r="I32" s="27"/>
    </row>
    <row r="33" spans="2:9" ht="30" customHeight="1">
      <c r="B33" s="144"/>
      <c r="C33" s="118">
        <v>22</v>
      </c>
      <c r="D33" s="35" t="s">
        <v>93</v>
      </c>
      <c r="E33" s="43">
        <v>0</v>
      </c>
      <c r="F33" s="48">
        <f>SUM(B12*E33)/48</f>
        <v>0</v>
      </c>
      <c r="G33" s="35"/>
      <c r="H33" s="28"/>
      <c r="I33" s="27"/>
    </row>
    <row r="34" spans="2:9" ht="30" customHeight="1">
      <c r="B34" s="144"/>
      <c r="C34" s="118">
        <v>23</v>
      </c>
      <c r="D34" s="35" t="s">
        <v>168</v>
      </c>
      <c r="E34" s="43">
        <v>0</v>
      </c>
      <c r="F34" s="48">
        <f>SUM(B12*E34)/48</f>
        <v>0</v>
      </c>
      <c r="G34" s="35"/>
      <c r="H34" s="28"/>
      <c r="I34" s="27"/>
    </row>
    <row r="35" spans="2:9" ht="31.5" customHeight="1">
      <c r="B35" s="144"/>
      <c r="C35" s="118">
        <v>24</v>
      </c>
      <c r="D35" s="126" t="s">
        <v>165</v>
      </c>
      <c r="E35" s="43">
        <v>0</v>
      </c>
      <c r="F35" s="48">
        <f>SUM(B12*E35)/48</f>
        <v>0</v>
      </c>
      <c r="H35" s="28"/>
      <c r="I35" s="27"/>
    </row>
    <row r="36" spans="2:9" ht="15.75">
      <c r="B36" s="144"/>
      <c r="C36" s="120"/>
      <c r="D36" s="59"/>
      <c r="E36" s="59" t="s">
        <v>3</v>
      </c>
      <c r="F36" s="60">
        <f>SUM(F12:F35)</f>
        <v>0</v>
      </c>
      <c r="G36" s="84"/>
      <c r="H36" s="79"/>
      <c r="I36" s="79"/>
    </row>
    <row r="37" spans="2:9" ht="15.75">
      <c r="B37" s="143">
        <v>0.08</v>
      </c>
      <c r="C37" s="121" t="s">
        <v>54</v>
      </c>
      <c r="D37" s="45" t="s">
        <v>95</v>
      </c>
      <c r="E37" s="41"/>
      <c r="F37" s="46"/>
      <c r="G37" s="84"/>
      <c r="H37" s="79"/>
      <c r="I37" s="79"/>
    </row>
    <row r="38" spans="2:9" ht="30" customHeight="1">
      <c r="B38" s="144"/>
      <c r="C38" s="122">
        <v>1</v>
      </c>
      <c r="D38" s="35" t="s">
        <v>50</v>
      </c>
      <c r="E38" s="43">
        <v>0</v>
      </c>
      <c r="F38" s="48">
        <f>SUM(B37*E38)/20</f>
        <v>0</v>
      </c>
      <c r="G38" s="39"/>
      <c r="H38" s="28"/>
      <c r="I38" s="27"/>
    </row>
    <row r="39" spans="2:9" ht="30" customHeight="1">
      <c r="B39" s="144"/>
      <c r="C39" s="122">
        <v>2</v>
      </c>
      <c r="D39" s="35" t="s">
        <v>97</v>
      </c>
      <c r="E39" s="43">
        <v>0</v>
      </c>
      <c r="F39" s="48">
        <f>SUM(B37*E39)/20</f>
        <v>0</v>
      </c>
      <c r="G39" s="39"/>
      <c r="H39" s="27"/>
      <c r="I39" s="27"/>
    </row>
    <row r="40" spans="2:9" ht="30" customHeight="1">
      <c r="B40" s="144"/>
      <c r="C40" s="122">
        <v>3</v>
      </c>
      <c r="D40" s="35" t="s">
        <v>96</v>
      </c>
      <c r="E40" s="43">
        <v>0</v>
      </c>
      <c r="F40" s="48">
        <f>SUM(B37*E40)/20</f>
        <v>0</v>
      </c>
      <c r="G40" s="39"/>
      <c r="H40" s="27"/>
      <c r="I40" s="27"/>
    </row>
    <row r="41" spans="2:9" ht="30" customHeight="1">
      <c r="B41" s="144"/>
      <c r="C41" s="122">
        <v>4</v>
      </c>
      <c r="D41" s="35" t="s">
        <v>33</v>
      </c>
      <c r="E41" s="43">
        <v>0</v>
      </c>
      <c r="F41" s="48">
        <f>SUM(B37*E41)/20</f>
        <v>0</v>
      </c>
      <c r="G41" s="39"/>
      <c r="H41" s="27"/>
      <c r="I41" s="27"/>
    </row>
    <row r="42" spans="2:9" ht="30" customHeight="1">
      <c r="B42" s="144"/>
      <c r="C42" s="122">
        <v>5</v>
      </c>
      <c r="D42" s="35" t="s">
        <v>151</v>
      </c>
      <c r="E42" s="43">
        <v>0</v>
      </c>
      <c r="F42" s="48">
        <f>SUM(B37*E42)/20</f>
        <v>0</v>
      </c>
      <c r="G42" s="39"/>
      <c r="H42" s="27"/>
      <c r="I42" s="27"/>
    </row>
    <row r="43" spans="2:9" ht="30" customHeight="1">
      <c r="B43" s="144"/>
      <c r="C43" s="123">
        <v>6</v>
      </c>
      <c r="D43" s="35" t="s">
        <v>46</v>
      </c>
      <c r="E43" s="43">
        <v>0</v>
      </c>
      <c r="F43" s="48">
        <f>SUM(B37*E43)/20</f>
        <v>0</v>
      </c>
      <c r="G43" s="39"/>
      <c r="H43" s="27"/>
      <c r="I43" s="27"/>
    </row>
    <row r="44" spans="2:9" ht="30" customHeight="1">
      <c r="B44" s="144"/>
      <c r="C44" s="123">
        <v>7</v>
      </c>
      <c r="D44" s="35" t="s">
        <v>34</v>
      </c>
      <c r="E44" s="43">
        <v>0</v>
      </c>
      <c r="F44" s="48">
        <f>SUM(B37*E44)/20</f>
        <v>0</v>
      </c>
      <c r="G44" s="39"/>
      <c r="H44" s="28"/>
      <c r="I44" s="27"/>
    </row>
    <row r="45" spans="2:9" ht="30" customHeight="1">
      <c r="B45" s="144"/>
      <c r="C45" s="122">
        <v>8</v>
      </c>
      <c r="D45" s="35" t="s">
        <v>35</v>
      </c>
      <c r="E45" s="43">
        <v>0</v>
      </c>
      <c r="F45" s="48">
        <f>SUM(B37*E45)/20</f>
        <v>0</v>
      </c>
      <c r="G45" s="39"/>
      <c r="H45" s="35"/>
      <c r="I45" s="27"/>
    </row>
    <row r="46" spans="2:9" ht="30" customHeight="1">
      <c r="B46" s="144"/>
      <c r="C46" s="122">
        <v>9</v>
      </c>
      <c r="D46" s="35" t="s">
        <v>47</v>
      </c>
      <c r="E46" s="43">
        <v>0</v>
      </c>
      <c r="F46" s="48">
        <f>SUM(B37*E46)/20</f>
        <v>0</v>
      </c>
      <c r="G46" s="39"/>
      <c r="H46" s="35"/>
      <c r="I46" s="27"/>
    </row>
    <row r="47" spans="2:9" ht="30" customHeight="1">
      <c r="B47" s="144"/>
      <c r="C47" s="122">
        <v>10</v>
      </c>
      <c r="D47" s="35" t="s">
        <v>36</v>
      </c>
      <c r="E47" s="43">
        <v>0</v>
      </c>
      <c r="F47" s="48">
        <f>SUM(B37*E47)/20</f>
        <v>0</v>
      </c>
      <c r="G47" s="39"/>
      <c r="H47" s="35"/>
      <c r="I47" s="27"/>
    </row>
    <row r="48" spans="2:9" ht="15.75">
      <c r="B48" s="144"/>
      <c r="C48" s="124"/>
      <c r="D48" s="65"/>
      <c r="E48" s="66" t="s">
        <v>3</v>
      </c>
      <c r="F48" s="67">
        <f>SUM(F38:F47)</f>
        <v>0</v>
      </c>
      <c r="G48" s="50"/>
      <c r="H48" s="79"/>
      <c r="I48" s="79"/>
    </row>
    <row r="49" spans="2:9" ht="15.75">
      <c r="B49" s="116"/>
      <c r="C49" s="125"/>
      <c r="D49" s="62" t="s">
        <v>3</v>
      </c>
      <c r="E49" s="63"/>
      <c r="F49" s="44">
        <f>SUM(F36,F48)</f>
        <v>0</v>
      </c>
      <c r="G49" s="50"/>
      <c r="H49" s="79"/>
      <c r="I49" s="79"/>
    </row>
  </sheetData>
  <mergeCells count="8">
    <mergeCell ref="C10:D10"/>
    <mergeCell ref="B12:B36"/>
    <mergeCell ref="B37:B48"/>
    <mergeCell ref="B9:D9"/>
    <mergeCell ref="B2:D2"/>
    <mergeCell ref="B3:D3"/>
    <mergeCell ref="B5:I5"/>
    <mergeCell ref="B7:H7"/>
  </mergeCells>
  <conditionalFormatting sqref="E12:E35">
    <cfRule type="cellIs" dxfId="134" priority="7" operator="equal">
      <formula>2</formula>
    </cfRule>
    <cfRule type="cellIs" dxfId="133" priority="8" operator="equal">
      <formula>1</formula>
    </cfRule>
    <cfRule type="cellIs" dxfId="132" priority="9" operator="equal">
      <formula>0</formula>
    </cfRule>
  </conditionalFormatting>
  <conditionalFormatting sqref="E38:E47">
    <cfRule type="cellIs" dxfId="95" priority="1" operator="equal">
      <formula>2</formula>
    </cfRule>
    <cfRule type="cellIs" dxfId="94" priority="2" operator="equal">
      <formula>1</formula>
    </cfRule>
    <cfRule type="cellIs" dxfId="93" priority="3" operator="equal">
      <formula>0</formula>
    </cfRule>
  </conditionalFormatting>
  <pageMargins left="0.70866141732283472" right="0.70866141732283472" top="0.74803149606299213" bottom="0.39370078740157483" header="0.31496062992125984" footer="0.31496062992125984"/>
  <pageSetup paperSize="9" scale="5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4"/>
  <sheetViews>
    <sheetView topLeftCell="A16" zoomScale="45" zoomScaleNormal="73" workbookViewId="0">
      <selection activeCell="E22" sqref="E22:E31"/>
    </sheetView>
  </sheetViews>
  <sheetFormatPr defaultColWidth="9" defaultRowHeight="18.75"/>
  <cols>
    <col min="1" max="1" width="8.7109375" style="15" customWidth="1"/>
    <col min="2" max="2" width="13.7109375" style="14" customWidth="1"/>
    <col min="3" max="3" width="5.7109375" style="16" customWidth="1"/>
    <col min="4" max="4" width="57.7109375" style="16" customWidth="1"/>
    <col min="5" max="6" width="17.7109375" style="15" customWidth="1"/>
    <col min="7" max="7" width="35.7109375" style="15" customWidth="1"/>
    <col min="8" max="8" width="50.7109375" style="30" customWidth="1"/>
    <col min="9" max="9" width="55.7109375" style="15" customWidth="1"/>
    <col min="10" max="16384" width="9" style="15"/>
  </cols>
  <sheetData>
    <row r="2" spans="2:9" ht="23.25">
      <c r="B2" s="24"/>
      <c r="C2" s="24"/>
      <c r="D2" s="24"/>
      <c r="E2" s="24"/>
      <c r="F2" s="24"/>
      <c r="G2" s="24"/>
      <c r="H2" s="29"/>
      <c r="I2" s="24"/>
    </row>
    <row r="3" spans="2:9" ht="21">
      <c r="B3" s="151"/>
      <c r="C3" s="151"/>
      <c r="D3" s="151"/>
      <c r="E3" s="151"/>
      <c r="F3" s="151"/>
      <c r="G3" s="151"/>
      <c r="H3" s="151"/>
      <c r="I3" s="151"/>
    </row>
    <row r="4" spans="2:9" ht="23.25">
      <c r="B4" s="152" t="s">
        <v>88</v>
      </c>
      <c r="C4" s="152"/>
      <c r="D4" s="152"/>
      <c r="E4" s="152"/>
      <c r="F4" s="152"/>
      <c r="G4" s="152"/>
      <c r="H4" s="152"/>
      <c r="I4" s="152"/>
    </row>
    <row r="5" spans="2:9">
      <c r="B5" s="25"/>
      <c r="C5" s="26"/>
      <c r="D5" s="25"/>
    </row>
    <row r="6" spans="2:9" s="13" customFormat="1" ht="85.5" customHeight="1">
      <c r="B6" s="31" t="s">
        <v>22</v>
      </c>
      <c r="C6" s="150" t="s">
        <v>21</v>
      </c>
      <c r="D6" s="150"/>
      <c r="E6" s="31" t="s">
        <v>0</v>
      </c>
      <c r="F6" s="31" t="s">
        <v>1</v>
      </c>
      <c r="G6" s="31" t="s">
        <v>2</v>
      </c>
      <c r="H6" s="31" t="s">
        <v>19</v>
      </c>
      <c r="I6" s="31" t="s">
        <v>20</v>
      </c>
    </row>
    <row r="7" spans="2:9" ht="37.5" customHeight="1">
      <c r="B7" s="143">
        <v>0.2</v>
      </c>
      <c r="C7" s="42" t="s">
        <v>23</v>
      </c>
      <c r="D7" s="57" t="s">
        <v>68</v>
      </c>
      <c r="E7" s="54"/>
      <c r="F7" s="54"/>
      <c r="G7" s="54"/>
      <c r="H7" s="37"/>
      <c r="I7" s="37"/>
    </row>
    <row r="8" spans="2:9" ht="52.5" customHeight="1">
      <c r="B8" s="144"/>
      <c r="C8" s="47">
        <v>1</v>
      </c>
      <c r="D8" s="27" t="s">
        <v>98</v>
      </c>
      <c r="E8" s="43">
        <v>0</v>
      </c>
      <c r="F8" s="48">
        <f>SUM(B7*E8)/48</f>
        <v>0</v>
      </c>
      <c r="G8" s="39"/>
      <c r="H8" s="36"/>
      <c r="I8" s="35"/>
    </row>
    <row r="9" spans="2:9" ht="40.5" customHeight="1">
      <c r="B9" s="144"/>
      <c r="C9" s="47">
        <v>2</v>
      </c>
      <c r="D9" s="27" t="s">
        <v>101</v>
      </c>
      <c r="E9" s="43">
        <v>0</v>
      </c>
      <c r="F9" s="48">
        <f>SUM(B7*E9)/48</f>
        <v>0</v>
      </c>
      <c r="G9" s="39"/>
      <c r="H9" s="36"/>
      <c r="I9" s="35"/>
    </row>
    <row r="10" spans="2:9" ht="40.5" customHeight="1">
      <c r="B10" s="144"/>
      <c r="C10" s="47">
        <v>3</v>
      </c>
      <c r="D10" s="27" t="s">
        <v>100</v>
      </c>
      <c r="E10" s="43">
        <v>0</v>
      </c>
      <c r="F10" s="48">
        <f>SUM(B7*E10)/48</f>
        <v>0</v>
      </c>
      <c r="G10" s="39"/>
      <c r="H10" s="36"/>
      <c r="I10" s="35"/>
    </row>
    <row r="11" spans="2:9" ht="45" customHeight="1">
      <c r="B11" s="144"/>
      <c r="C11" s="47">
        <v>4</v>
      </c>
      <c r="D11" s="27" t="s">
        <v>200</v>
      </c>
      <c r="E11" s="43">
        <v>0</v>
      </c>
      <c r="F11" s="48">
        <f>SUM(B7*E11)/48</f>
        <v>0</v>
      </c>
      <c r="G11" s="39"/>
      <c r="H11" s="36"/>
      <c r="I11" s="35"/>
    </row>
    <row r="12" spans="2:9" ht="28.5" customHeight="1">
      <c r="B12" s="144"/>
      <c r="C12" s="47">
        <v>5</v>
      </c>
      <c r="D12" s="27" t="s">
        <v>86</v>
      </c>
      <c r="E12" s="43">
        <v>0</v>
      </c>
      <c r="F12" s="48">
        <f>SUM(B7*E12)/48</f>
        <v>0</v>
      </c>
      <c r="G12" s="39"/>
      <c r="H12" s="36"/>
      <c r="I12" s="27"/>
    </row>
    <row r="13" spans="2:9" ht="33" customHeight="1">
      <c r="B13" s="144"/>
      <c r="C13" s="47">
        <v>6</v>
      </c>
      <c r="D13" s="27" t="s">
        <v>146</v>
      </c>
      <c r="E13" s="43">
        <v>0</v>
      </c>
      <c r="F13" s="48">
        <f>SUM(B7*E13)/48</f>
        <v>0</v>
      </c>
      <c r="G13" s="39"/>
      <c r="H13" s="36"/>
      <c r="I13" s="27"/>
    </row>
    <row r="14" spans="2:9" ht="34.5" customHeight="1">
      <c r="B14" s="144"/>
      <c r="C14" s="47">
        <v>7</v>
      </c>
      <c r="D14" s="27" t="s">
        <v>105</v>
      </c>
      <c r="E14" s="43">
        <v>0</v>
      </c>
      <c r="F14" s="48">
        <f>SUM(B7*E14)/48</f>
        <v>0</v>
      </c>
      <c r="G14" s="39"/>
      <c r="H14" s="36"/>
      <c r="I14" s="27"/>
    </row>
    <row r="15" spans="2:9" ht="39" customHeight="1">
      <c r="B15" s="144"/>
      <c r="C15" s="47">
        <v>8</v>
      </c>
      <c r="D15" s="27" t="s">
        <v>107</v>
      </c>
      <c r="E15" s="43">
        <v>0</v>
      </c>
      <c r="F15" s="48">
        <f>SUM(B7*E15)/48</f>
        <v>0</v>
      </c>
      <c r="G15" s="39"/>
      <c r="H15" s="36"/>
      <c r="I15" s="27"/>
    </row>
    <row r="16" spans="2:9" ht="36" customHeight="1">
      <c r="B16" s="144"/>
      <c r="C16" s="47">
        <v>9</v>
      </c>
      <c r="D16" s="27" t="s">
        <v>69</v>
      </c>
      <c r="E16" s="43">
        <v>0</v>
      </c>
      <c r="F16" s="48">
        <f>SUM(B7*E16)/48</f>
        <v>0</v>
      </c>
      <c r="G16" s="39"/>
      <c r="H16" s="36"/>
      <c r="I16" s="27"/>
    </row>
    <row r="17" spans="2:9" ht="39" customHeight="1">
      <c r="B17" s="144"/>
      <c r="C17" s="47">
        <v>10</v>
      </c>
      <c r="D17" s="27" t="s">
        <v>48</v>
      </c>
      <c r="E17" s="43">
        <v>0</v>
      </c>
      <c r="F17" s="48">
        <f>SUM(B7*E17)/48</f>
        <v>0</v>
      </c>
      <c r="G17" s="39"/>
      <c r="H17" s="36"/>
      <c r="I17" s="27"/>
    </row>
    <row r="18" spans="2:9" ht="28.5" customHeight="1">
      <c r="B18" s="144"/>
      <c r="C18" s="47">
        <v>11</v>
      </c>
      <c r="D18" s="27" t="s">
        <v>43</v>
      </c>
      <c r="E18" s="43">
        <v>0</v>
      </c>
      <c r="F18" s="48">
        <f>SUM(B7*E18)/48</f>
        <v>0</v>
      </c>
      <c r="G18" s="39"/>
      <c r="H18" s="36"/>
      <c r="I18" s="27"/>
    </row>
    <row r="19" spans="2:9" ht="42" customHeight="1">
      <c r="B19" s="144"/>
      <c r="C19" s="47">
        <v>12</v>
      </c>
      <c r="D19" s="27" t="s">
        <v>109</v>
      </c>
      <c r="E19" s="43">
        <v>0</v>
      </c>
      <c r="F19" s="48">
        <f>SUM(B7*E19)/48</f>
        <v>0</v>
      </c>
      <c r="G19" s="39"/>
      <c r="H19" s="36"/>
      <c r="I19" s="27"/>
    </row>
    <row r="20" spans="2:9" ht="27.75" customHeight="1">
      <c r="B20" s="144"/>
      <c r="C20" s="68"/>
      <c r="D20" s="61"/>
      <c r="E20" s="80" t="s">
        <v>3</v>
      </c>
      <c r="F20" s="69">
        <f>SUM(F8:F19)</f>
        <v>0</v>
      </c>
      <c r="G20" s="39"/>
      <c r="H20" s="34"/>
      <c r="I20" s="35"/>
    </row>
    <row r="21" spans="2:9" ht="27" customHeight="1">
      <c r="B21" s="144"/>
      <c r="C21" s="51" t="s">
        <v>24</v>
      </c>
      <c r="D21" s="52" t="s">
        <v>89</v>
      </c>
      <c r="E21" s="53"/>
      <c r="F21" s="54"/>
      <c r="G21" s="50"/>
      <c r="H21" s="85"/>
      <c r="I21" s="85"/>
    </row>
    <row r="22" spans="2:9" ht="48.75" customHeight="1">
      <c r="B22" s="144"/>
      <c r="C22" s="47">
        <v>1</v>
      </c>
      <c r="D22" s="27" t="s">
        <v>106</v>
      </c>
      <c r="E22" s="43">
        <v>0</v>
      </c>
      <c r="F22" s="48">
        <f>SUM(B7*E22)/40</f>
        <v>0</v>
      </c>
      <c r="G22" s="39"/>
      <c r="H22" s="28"/>
      <c r="I22" s="27"/>
    </row>
    <row r="23" spans="2:9" ht="41.25" customHeight="1">
      <c r="B23" s="144"/>
      <c r="C23" s="47">
        <v>2</v>
      </c>
      <c r="D23" s="27" t="s">
        <v>169</v>
      </c>
      <c r="E23" s="43">
        <v>0</v>
      </c>
      <c r="F23" s="48">
        <f>SUM(B7*E23)/40</f>
        <v>0</v>
      </c>
      <c r="G23" s="39"/>
      <c r="H23" s="28"/>
      <c r="I23" s="27"/>
    </row>
    <row r="24" spans="2:9" ht="63.75" customHeight="1">
      <c r="B24" s="144"/>
      <c r="C24" s="47">
        <v>3</v>
      </c>
      <c r="D24" s="27" t="s">
        <v>144</v>
      </c>
      <c r="E24" s="43">
        <v>0</v>
      </c>
      <c r="F24" s="48">
        <f>SUM(B7*E24)/40</f>
        <v>0</v>
      </c>
      <c r="G24" s="39"/>
      <c r="H24" s="28"/>
      <c r="I24" s="27"/>
    </row>
    <row r="25" spans="2:9" ht="47.25" customHeight="1">
      <c r="B25" s="144"/>
      <c r="C25" s="47">
        <v>4</v>
      </c>
      <c r="D25" s="35" t="s">
        <v>108</v>
      </c>
      <c r="E25" s="43">
        <v>0</v>
      </c>
      <c r="F25" s="48">
        <f>SUM(B7*E25)/40</f>
        <v>0</v>
      </c>
      <c r="G25" s="39"/>
      <c r="H25" s="28"/>
      <c r="I25" s="27"/>
    </row>
    <row r="26" spans="2:9" ht="36" customHeight="1">
      <c r="B26" s="144"/>
      <c r="C26" s="49">
        <v>5</v>
      </c>
      <c r="D26" s="35" t="s">
        <v>85</v>
      </c>
      <c r="E26" s="43">
        <v>0</v>
      </c>
      <c r="F26" s="48">
        <f>SUM(B7*E26)/40</f>
        <v>0</v>
      </c>
      <c r="G26" s="39"/>
      <c r="H26" s="27"/>
      <c r="I26" s="27"/>
    </row>
    <row r="27" spans="2:9" ht="48" customHeight="1">
      <c r="B27" s="144"/>
      <c r="C27" s="49">
        <v>6</v>
      </c>
      <c r="D27" s="27" t="s">
        <v>87</v>
      </c>
      <c r="E27" s="43">
        <v>0</v>
      </c>
      <c r="F27" s="48">
        <f>SUM(B7*E27)/40</f>
        <v>0</v>
      </c>
      <c r="G27" s="39"/>
      <c r="H27" s="28"/>
      <c r="I27" s="27"/>
    </row>
    <row r="28" spans="2:9" ht="36.75" customHeight="1">
      <c r="B28" s="144"/>
      <c r="C28" s="49">
        <v>7</v>
      </c>
      <c r="D28" s="35" t="s">
        <v>99</v>
      </c>
      <c r="E28" s="43">
        <v>0</v>
      </c>
      <c r="F28" s="48">
        <f>SUM(B7*E28)/40</f>
        <v>0</v>
      </c>
      <c r="G28" s="39"/>
      <c r="H28" s="35"/>
      <c r="I28" s="27"/>
    </row>
    <row r="29" spans="2:9" ht="36.75" customHeight="1">
      <c r="B29" s="144"/>
      <c r="C29" s="49">
        <v>8</v>
      </c>
      <c r="D29" s="35" t="s">
        <v>103</v>
      </c>
      <c r="E29" s="43">
        <v>0</v>
      </c>
      <c r="F29" s="48">
        <f>SUM(B7*E29)/40</f>
        <v>0</v>
      </c>
      <c r="G29" s="39"/>
      <c r="H29" s="35"/>
      <c r="I29" s="27"/>
    </row>
    <row r="30" spans="2:9" ht="36.75" customHeight="1">
      <c r="B30" s="144"/>
      <c r="C30" s="49">
        <v>9</v>
      </c>
      <c r="D30" s="35" t="s">
        <v>102</v>
      </c>
      <c r="E30" s="43">
        <v>0</v>
      </c>
      <c r="F30" s="48">
        <f>SUM(B7*E30)/40</f>
        <v>0</v>
      </c>
      <c r="G30" s="39"/>
      <c r="H30" s="35"/>
      <c r="I30" s="27"/>
    </row>
    <row r="31" spans="2:9" ht="36.75" customHeight="1">
      <c r="B31" s="144"/>
      <c r="C31" s="49">
        <v>10</v>
      </c>
      <c r="D31" s="35" t="s">
        <v>104</v>
      </c>
      <c r="E31" s="43">
        <v>0</v>
      </c>
      <c r="F31" s="48">
        <f>SUM(B7*E31)/40</f>
        <v>0</v>
      </c>
      <c r="G31" s="39"/>
      <c r="H31" s="35"/>
      <c r="I31" s="27"/>
    </row>
    <row r="32" spans="2:9" ht="23.25" customHeight="1">
      <c r="B32" s="149"/>
      <c r="C32" s="101"/>
      <c r="D32" s="102"/>
      <c r="E32" s="103" t="s">
        <v>3</v>
      </c>
      <c r="F32" s="104">
        <f>SUM(F22:F31)</f>
        <v>0</v>
      </c>
      <c r="G32" s="50"/>
      <c r="H32" s="86"/>
      <c r="I32" s="85"/>
    </row>
    <row r="33" spans="2:9" customFormat="1" ht="15.75">
      <c r="B33" s="100"/>
      <c r="C33" s="58"/>
      <c r="D33" s="62" t="s">
        <v>3</v>
      </c>
      <c r="E33" s="63"/>
      <c r="F33" s="44">
        <f>F32+F20</f>
        <v>0</v>
      </c>
      <c r="G33" s="50"/>
      <c r="H33" s="79"/>
      <c r="I33" s="79"/>
    </row>
    <row r="34" spans="2:9" ht="27" customHeight="1">
      <c r="B34" s="83"/>
      <c r="C34" s="51"/>
      <c r="D34" s="45" t="s">
        <v>4</v>
      </c>
      <c r="E34" s="46"/>
      <c r="F34" s="46"/>
      <c r="G34" s="84"/>
      <c r="H34" s="37"/>
      <c r="I34" s="37"/>
    </row>
  </sheetData>
  <mergeCells count="4">
    <mergeCell ref="B7:B32"/>
    <mergeCell ref="C6:D6"/>
    <mergeCell ref="B3:I3"/>
    <mergeCell ref="B4:I4"/>
  </mergeCells>
  <conditionalFormatting sqref="E8:E19">
    <cfRule type="cellIs" dxfId="89" priority="4" operator="equal">
      <formula>2</formula>
    </cfRule>
    <cfRule type="cellIs" dxfId="88" priority="5" operator="equal">
      <formula>1</formula>
    </cfRule>
    <cfRule type="cellIs" dxfId="87" priority="6" operator="equal">
      <formula>0</formula>
    </cfRule>
  </conditionalFormatting>
  <conditionalFormatting sqref="E22:E31">
    <cfRule type="cellIs" dxfId="83" priority="1" operator="equal">
      <formula>2</formula>
    </cfRule>
    <cfRule type="cellIs" dxfId="82" priority="2" operator="equal">
      <formula>1</formula>
    </cfRule>
    <cfRule type="cellIs" dxfId="81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topLeftCell="A24" zoomScale="84" zoomScaleNormal="84" workbookViewId="0">
      <selection activeCell="E24" sqref="E24:E33"/>
    </sheetView>
  </sheetViews>
  <sheetFormatPr defaultColWidth="9" defaultRowHeight="18.75"/>
  <cols>
    <col min="1" max="1" width="8.7109375" style="15" customWidth="1"/>
    <col min="2" max="2" width="13.7109375" style="14" customWidth="1"/>
    <col min="3" max="3" width="5.7109375" style="16" customWidth="1"/>
    <col min="4" max="4" width="57.7109375" style="16" customWidth="1"/>
    <col min="5" max="6" width="17.7109375" style="15" customWidth="1"/>
    <col min="7" max="7" width="35.7109375" style="15" customWidth="1"/>
    <col min="8" max="8" width="50.7109375" style="30" customWidth="1"/>
    <col min="9" max="9" width="55.7109375" style="15" customWidth="1"/>
    <col min="10" max="16384" width="9" style="15"/>
  </cols>
  <sheetData>
    <row r="1" spans="2:9" ht="23.25">
      <c r="B1" s="24"/>
      <c r="C1" s="24"/>
      <c r="D1" s="24"/>
      <c r="E1" s="24"/>
      <c r="F1" s="24"/>
      <c r="G1" s="24"/>
      <c r="H1" s="29"/>
      <c r="I1" s="24"/>
    </row>
    <row r="2" spans="2:9" ht="21">
      <c r="B2" s="151"/>
      <c r="C2" s="151"/>
      <c r="D2" s="151"/>
      <c r="E2" s="151"/>
      <c r="F2" s="151"/>
      <c r="G2" s="151"/>
      <c r="H2" s="151"/>
      <c r="I2" s="151"/>
    </row>
    <row r="3" spans="2:9" s="132" customFormat="1" ht="23.25">
      <c r="B3" s="152" t="s">
        <v>110</v>
      </c>
      <c r="C3" s="152"/>
      <c r="D3" s="152"/>
      <c r="E3" s="152"/>
      <c r="F3" s="152"/>
      <c r="G3" s="152"/>
      <c r="H3" s="152"/>
      <c r="I3" s="152"/>
    </row>
    <row r="4" spans="2:9">
      <c r="B4" s="25"/>
      <c r="C4" s="26"/>
      <c r="D4" s="25"/>
    </row>
    <row r="5" spans="2:9" s="13" customFormat="1" ht="85.5" customHeight="1">
      <c r="B5" s="31" t="s">
        <v>22</v>
      </c>
      <c r="C5" s="150" t="s">
        <v>21</v>
      </c>
      <c r="D5" s="150"/>
      <c r="E5" s="31" t="s">
        <v>0</v>
      </c>
      <c r="F5" s="31" t="s">
        <v>1</v>
      </c>
      <c r="G5" s="31" t="s">
        <v>2</v>
      </c>
      <c r="H5" s="31" t="s">
        <v>19</v>
      </c>
      <c r="I5" s="31" t="s">
        <v>20</v>
      </c>
    </row>
    <row r="6" spans="2:9" ht="27" customHeight="1">
      <c r="B6" s="144">
        <v>0.25</v>
      </c>
      <c r="C6" s="51" t="s">
        <v>23</v>
      </c>
      <c r="D6" s="52" t="s">
        <v>120</v>
      </c>
      <c r="E6" s="53"/>
      <c r="F6" s="54"/>
      <c r="G6" s="50"/>
      <c r="H6" s="85"/>
      <c r="I6" s="85"/>
    </row>
    <row r="7" spans="2:9" ht="33.75" customHeight="1">
      <c r="B7" s="144"/>
      <c r="C7" s="47">
        <v>1</v>
      </c>
      <c r="D7" s="35" t="s">
        <v>72</v>
      </c>
      <c r="E7" s="43">
        <v>0</v>
      </c>
      <c r="F7" s="48">
        <f>SUM(B6*E7)/50</f>
        <v>0</v>
      </c>
      <c r="G7" s="39"/>
      <c r="H7" s="28"/>
      <c r="I7" s="27"/>
    </row>
    <row r="8" spans="2:9" ht="32.25" customHeight="1">
      <c r="B8" s="144"/>
      <c r="C8" s="47">
        <v>2</v>
      </c>
      <c r="D8" s="35" t="s">
        <v>111</v>
      </c>
      <c r="E8" s="43">
        <v>0</v>
      </c>
      <c r="F8" s="48">
        <f>SUM(B6*E8)/50</f>
        <v>0</v>
      </c>
      <c r="G8" s="39"/>
      <c r="H8" s="28"/>
      <c r="I8" s="27"/>
    </row>
    <row r="9" spans="2:9" ht="48" customHeight="1">
      <c r="B9" s="144"/>
      <c r="C9" s="47">
        <v>3</v>
      </c>
      <c r="D9" s="35" t="s">
        <v>152</v>
      </c>
      <c r="E9" s="43">
        <v>0</v>
      </c>
      <c r="F9" s="48">
        <f>SUM(B6*E9)/50</f>
        <v>0</v>
      </c>
      <c r="G9" s="39"/>
      <c r="H9" s="28"/>
      <c r="I9" s="27"/>
    </row>
    <row r="10" spans="2:9" ht="43.5" customHeight="1">
      <c r="B10" s="144"/>
      <c r="C10" s="47">
        <v>4</v>
      </c>
      <c r="D10" s="35" t="s">
        <v>153</v>
      </c>
      <c r="E10" s="43">
        <v>0</v>
      </c>
      <c r="F10" s="48">
        <f>SUM(B6*E10)/50</f>
        <v>0</v>
      </c>
      <c r="G10" s="39"/>
      <c r="H10" s="28"/>
      <c r="I10" s="27"/>
    </row>
    <row r="11" spans="2:9" ht="31.5" customHeight="1">
      <c r="B11" s="144"/>
      <c r="C11" s="47">
        <v>5</v>
      </c>
      <c r="D11" s="27" t="s">
        <v>116</v>
      </c>
      <c r="E11" s="43">
        <v>0</v>
      </c>
      <c r="F11" s="48">
        <f>SUM(B6*E11)/50</f>
        <v>0</v>
      </c>
      <c r="G11" s="39"/>
      <c r="H11" s="28"/>
      <c r="I11" s="27"/>
    </row>
    <row r="12" spans="2:9" ht="33" customHeight="1">
      <c r="B12" s="144"/>
      <c r="C12" s="47">
        <v>6</v>
      </c>
      <c r="D12" s="35" t="s">
        <v>112</v>
      </c>
      <c r="E12" s="43">
        <v>0</v>
      </c>
      <c r="F12" s="48">
        <f>SUM(B6*E12)/50</f>
        <v>0</v>
      </c>
      <c r="G12" s="39"/>
      <c r="H12" s="28"/>
      <c r="I12" s="27"/>
    </row>
    <row r="13" spans="2:9" ht="33" customHeight="1">
      <c r="B13" s="144"/>
      <c r="C13" s="47">
        <v>7</v>
      </c>
      <c r="D13" s="35" t="s">
        <v>113</v>
      </c>
      <c r="E13" s="43">
        <v>0</v>
      </c>
      <c r="F13" s="48">
        <f>SUM(B6*E13)/50</f>
        <v>0</v>
      </c>
      <c r="G13" s="39"/>
      <c r="H13" s="28"/>
      <c r="I13" s="27"/>
    </row>
    <row r="14" spans="2:9" ht="32.25" customHeight="1">
      <c r="B14" s="144"/>
      <c r="C14" s="47">
        <v>8</v>
      </c>
      <c r="D14" s="133" t="s">
        <v>171</v>
      </c>
      <c r="E14" s="43">
        <v>0</v>
      </c>
      <c r="F14" s="48">
        <f>SUM(B6*E14)/50</f>
        <v>0</v>
      </c>
      <c r="G14" s="39"/>
      <c r="H14" s="35"/>
      <c r="I14" s="27"/>
    </row>
    <row r="15" spans="2:9" ht="32.25" customHeight="1">
      <c r="B15" s="144"/>
      <c r="C15" s="47">
        <v>9</v>
      </c>
      <c r="D15" s="128" t="s">
        <v>114</v>
      </c>
      <c r="E15" s="43">
        <v>0</v>
      </c>
      <c r="F15" s="48">
        <f>SUM(B6*E15)/50</f>
        <v>0</v>
      </c>
      <c r="G15" s="127"/>
      <c r="H15" s="35"/>
      <c r="I15" s="27"/>
    </row>
    <row r="16" spans="2:9" ht="28.5" customHeight="1">
      <c r="B16" s="144"/>
      <c r="C16" s="47">
        <v>10</v>
      </c>
      <c r="D16" s="128" t="s">
        <v>115</v>
      </c>
      <c r="E16" s="43">
        <v>0</v>
      </c>
      <c r="F16" s="48">
        <f>SUM(B6*E16)/50</f>
        <v>0</v>
      </c>
      <c r="G16" s="127"/>
      <c r="H16" s="35"/>
      <c r="I16" s="27"/>
    </row>
    <row r="17" spans="2:9" ht="48" customHeight="1">
      <c r="B17" s="144"/>
      <c r="C17" s="47">
        <v>11</v>
      </c>
      <c r="D17" s="133" t="s">
        <v>170</v>
      </c>
      <c r="E17" s="43">
        <v>0</v>
      </c>
      <c r="F17" s="48">
        <f>SUM(B6*E17)/50</f>
        <v>0</v>
      </c>
      <c r="G17" s="127"/>
      <c r="H17" s="35"/>
      <c r="I17" s="27"/>
    </row>
    <row r="18" spans="2:9" ht="27.75" customHeight="1">
      <c r="B18" s="144"/>
      <c r="C18" s="47">
        <v>12</v>
      </c>
      <c r="D18" s="128" t="s">
        <v>118</v>
      </c>
      <c r="E18" s="43">
        <v>0</v>
      </c>
      <c r="F18" s="48">
        <f>SUM(B6*E18)/50</f>
        <v>0</v>
      </c>
      <c r="G18" s="127"/>
      <c r="H18" s="35"/>
      <c r="I18" s="27"/>
    </row>
    <row r="19" spans="2:9" ht="21" customHeight="1">
      <c r="B19" s="144"/>
      <c r="C19" s="47">
        <v>13</v>
      </c>
      <c r="D19" s="128" t="s">
        <v>117</v>
      </c>
      <c r="E19" s="43">
        <v>0</v>
      </c>
      <c r="F19" s="48">
        <f>SUM(B6*E19)/50</f>
        <v>0</v>
      </c>
      <c r="G19" s="127"/>
      <c r="H19" s="35"/>
      <c r="I19" s="27"/>
    </row>
    <row r="20" spans="2:9" ht="48" customHeight="1">
      <c r="B20" s="144"/>
      <c r="C20" s="47">
        <v>14</v>
      </c>
      <c r="D20" s="128" t="s">
        <v>121</v>
      </c>
      <c r="E20" s="43">
        <v>0</v>
      </c>
      <c r="F20" s="48">
        <f>SUM(B6*E20)/50</f>
        <v>0</v>
      </c>
      <c r="G20" s="127"/>
      <c r="H20" s="35"/>
      <c r="I20" s="27"/>
    </row>
    <row r="21" spans="2:9" ht="30.75" customHeight="1">
      <c r="B21" s="144"/>
      <c r="C21" s="47">
        <v>15</v>
      </c>
      <c r="D21" s="35" t="s">
        <v>122</v>
      </c>
      <c r="E21" s="43">
        <v>0</v>
      </c>
      <c r="F21" s="48">
        <f>SUM(B6*E21)/50</f>
        <v>0</v>
      </c>
      <c r="G21" s="127"/>
      <c r="H21" s="35"/>
      <c r="I21" s="27"/>
    </row>
    <row r="22" spans="2:9" ht="23.25" customHeight="1">
      <c r="B22" s="144"/>
      <c r="C22" s="101"/>
      <c r="D22" s="102"/>
      <c r="E22" s="103" t="s">
        <v>3</v>
      </c>
      <c r="F22" s="104">
        <f>SUM(F7:F21)</f>
        <v>0</v>
      </c>
      <c r="G22" s="50"/>
      <c r="H22" s="86"/>
      <c r="I22" s="85"/>
    </row>
    <row r="23" spans="2:9" ht="27" customHeight="1">
      <c r="B23" s="144"/>
      <c r="C23" s="51" t="s">
        <v>24</v>
      </c>
      <c r="D23" s="52" t="s">
        <v>76</v>
      </c>
      <c r="E23" s="53"/>
      <c r="F23" s="54"/>
      <c r="G23" s="50"/>
      <c r="H23" s="85"/>
      <c r="I23" s="85"/>
    </row>
    <row r="24" spans="2:9" ht="104.25" customHeight="1">
      <c r="B24" s="144"/>
      <c r="C24" s="47">
        <v>1</v>
      </c>
      <c r="D24" s="35" t="s">
        <v>154</v>
      </c>
      <c r="E24" s="43">
        <v>0</v>
      </c>
      <c r="F24" s="48">
        <f>SUM(B6*E24)/50</f>
        <v>0</v>
      </c>
      <c r="G24" s="39"/>
      <c r="H24" s="28"/>
      <c r="I24" s="27"/>
    </row>
    <row r="25" spans="2:9" ht="36.75" customHeight="1">
      <c r="B25" s="144"/>
      <c r="C25" s="47">
        <v>2</v>
      </c>
      <c r="D25" s="134" t="s">
        <v>77</v>
      </c>
      <c r="E25" s="43">
        <v>0</v>
      </c>
      <c r="F25" s="48">
        <f>SUM(B6*E25)/50</f>
        <v>0</v>
      </c>
      <c r="G25" s="39"/>
      <c r="H25" s="28"/>
      <c r="I25" s="27"/>
    </row>
    <row r="26" spans="2:9" ht="29.25" customHeight="1">
      <c r="B26" s="144"/>
      <c r="C26" s="47">
        <v>3</v>
      </c>
      <c r="D26" s="27" t="s">
        <v>172</v>
      </c>
      <c r="E26" s="43">
        <v>0</v>
      </c>
      <c r="F26" s="48">
        <f>SUM(B6*E26)/50</f>
        <v>0</v>
      </c>
      <c r="G26" s="39"/>
      <c r="H26" s="28"/>
      <c r="I26" s="27"/>
    </row>
    <row r="27" spans="2:9" ht="36" customHeight="1">
      <c r="B27" s="144"/>
      <c r="C27" s="49">
        <v>4</v>
      </c>
      <c r="D27" s="27" t="s">
        <v>173</v>
      </c>
      <c r="E27" s="43">
        <v>0</v>
      </c>
      <c r="F27" s="48">
        <f>SUM(B6*E27)/50</f>
        <v>0</v>
      </c>
      <c r="G27" s="39"/>
      <c r="H27" s="28"/>
      <c r="I27" s="27"/>
    </row>
    <row r="28" spans="2:9" ht="45.75" customHeight="1">
      <c r="B28" s="144"/>
      <c r="C28" s="49">
        <v>5</v>
      </c>
      <c r="D28" s="135" t="s">
        <v>174</v>
      </c>
      <c r="E28" s="43">
        <v>0</v>
      </c>
      <c r="F28" s="48">
        <f>SUM(B6*E28)/50</f>
        <v>0</v>
      </c>
      <c r="G28" s="39"/>
      <c r="H28" s="28"/>
      <c r="I28" s="27"/>
    </row>
    <row r="29" spans="2:9" ht="33.75" customHeight="1">
      <c r="B29" s="144"/>
      <c r="C29" s="49">
        <v>6</v>
      </c>
      <c r="D29" s="35" t="s">
        <v>78</v>
      </c>
      <c r="E29" s="43">
        <v>0</v>
      </c>
      <c r="F29" s="48">
        <f>SUM(B6*E29)/50</f>
        <v>0</v>
      </c>
      <c r="G29" s="39"/>
      <c r="H29" s="28"/>
      <c r="I29" s="27"/>
    </row>
    <row r="30" spans="2:9" ht="36" customHeight="1">
      <c r="B30" s="144"/>
      <c r="C30" s="49">
        <v>7</v>
      </c>
      <c r="D30" s="35" t="s">
        <v>119</v>
      </c>
      <c r="E30" s="43">
        <v>0</v>
      </c>
      <c r="F30" s="48">
        <f>SUM(B6*E30)/50</f>
        <v>0</v>
      </c>
      <c r="G30" s="39"/>
      <c r="H30" s="28"/>
      <c r="I30" s="27"/>
    </row>
    <row r="31" spans="2:9" ht="48.75" customHeight="1">
      <c r="B31" s="144"/>
      <c r="C31" s="49">
        <v>8</v>
      </c>
      <c r="D31" s="35" t="s">
        <v>123</v>
      </c>
      <c r="E31" s="43">
        <v>0</v>
      </c>
      <c r="F31" s="48">
        <f>SUM(B6*E31)/50</f>
        <v>0</v>
      </c>
      <c r="G31" s="39"/>
      <c r="H31" s="28"/>
      <c r="I31" s="27"/>
    </row>
    <row r="32" spans="2:9" ht="42" customHeight="1">
      <c r="B32" s="144"/>
      <c r="C32" s="49">
        <v>9</v>
      </c>
      <c r="D32" s="35" t="s">
        <v>124</v>
      </c>
      <c r="E32" s="43">
        <v>0</v>
      </c>
      <c r="F32" s="48">
        <f>SUM(B6*E32)/50</f>
        <v>0</v>
      </c>
      <c r="G32" s="39"/>
      <c r="H32" s="28"/>
      <c r="I32" s="27"/>
    </row>
    <row r="33" spans="2:9" ht="35.25" customHeight="1">
      <c r="B33" s="144"/>
      <c r="C33" s="49">
        <v>10</v>
      </c>
      <c r="D33" s="35" t="s">
        <v>125</v>
      </c>
      <c r="E33" s="43">
        <v>0</v>
      </c>
      <c r="F33" s="48">
        <f>SUM(B6*E33)/50</f>
        <v>0</v>
      </c>
      <c r="G33" s="39"/>
      <c r="H33" s="28"/>
      <c r="I33" s="27"/>
    </row>
    <row r="34" spans="2:9" ht="23.25" customHeight="1">
      <c r="B34" s="149"/>
      <c r="C34" s="101"/>
      <c r="D34" s="102"/>
      <c r="E34" s="103" t="s">
        <v>3</v>
      </c>
      <c r="F34" s="104">
        <f>SUM(F24:F33)</f>
        <v>0</v>
      </c>
      <c r="G34" s="50"/>
      <c r="H34" s="86"/>
      <c r="I34" s="85"/>
    </row>
    <row r="35" spans="2:9" customFormat="1" ht="15.75">
      <c r="B35" s="100"/>
      <c r="C35" s="58"/>
      <c r="D35" s="62" t="s">
        <v>3</v>
      </c>
      <c r="E35" s="63"/>
      <c r="F35" s="44">
        <f>SUM(F22,F34)</f>
        <v>0</v>
      </c>
      <c r="G35" s="50"/>
      <c r="H35" s="79"/>
      <c r="I35" s="79"/>
    </row>
  </sheetData>
  <mergeCells count="4">
    <mergeCell ref="B2:I2"/>
    <mergeCell ref="B3:I3"/>
    <mergeCell ref="C5:D5"/>
    <mergeCell ref="B6:B34"/>
  </mergeCells>
  <conditionalFormatting sqref="E7:E21">
    <cfRule type="cellIs" dxfId="77" priority="4" operator="equal">
      <formula>2</formula>
    </cfRule>
    <cfRule type="cellIs" dxfId="76" priority="5" operator="equal">
      <formula>1</formula>
    </cfRule>
    <cfRule type="cellIs" dxfId="75" priority="6" operator="equal">
      <formula>0</formula>
    </cfRule>
  </conditionalFormatting>
  <conditionalFormatting sqref="E24:E33">
    <cfRule type="cellIs" dxfId="71" priority="1" operator="equal">
      <formula>2</formula>
    </cfRule>
    <cfRule type="cellIs" dxfId="70" priority="2" operator="equal">
      <formula>1</formula>
    </cfRule>
    <cfRule type="cellIs" dxfId="69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opLeftCell="A16" zoomScale="70" zoomScaleNormal="70" workbookViewId="0">
      <selection activeCell="E21" sqref="E21:E25"/>
    </sheetView>
  </sheetViews>
  <sheetFormatPr defaultColWidth="9" defaultRowHeight="18.75"/>
  <cols>
    <col min="1" max="1" width="8.7109375" style="15" customWidth="1"/>
    <col min="2" max="2" width="13.7109375" style="14" customWidth="1"/>
    <col min="3" max="3" width="5.7109375" style="16" customWidth="1"/>
    <col min="4" max="4" width="57.7109375" style="16" customWidth="1"/>
    <col min="5" max="6" width="17.7109375" style="15" customWidth="1"/>
    <col min="7" max="7" width="35.7109375" style="15" customWidth="1"/>
    <col min="8" max="8" width="50.7109375" style="30" customWidth="1"/>
    <col min="9" max="9" width="55.7109375" style="15" customWidth="1"/>
    <col min="10" max="16384" width="9" style="15"/>
  </cols>
  <sheetData>
    <row r="1" spans="2:9" ht="23.25">
      <c r="B1" s="24"/>
      <c r="C1" s="24"/>
      <c r="D1" s="24"/>
      <c r="E1" s="24"/>
      <c r="F1" s="24"/>
      <c r="G1" s="24"/>
      <c r="H1" s="29"/>
      <c r="I1" s="24"/>
    </row>
    <row r="2" spans="2:9" ht="21">
      <c r="B2" s="151"/>
      <c r="C2" s="151"/>
      <c r="D2" s="151"/>
      <c r="E2" s="151"/>
      <c r="F2" s="151"/>
      <c r="G2" s="151"/>
      <c r="H2" s="151"/>
      <c r="I2" s="151"/>
    </row>
    <row r="3" spans="2:9" ht="23.25">
      <c r="B3" s="152" t="s">
        <v>199</v>
      </c>
      <c r="C3" s="152"/>
      <c r="D3" s="152"/>
      <c r="E3" s="152"/>
      <c r="F3" s="152"/>
      <c r="G3" s="152"/>
      <c r="H3" s="152"/>
      <c r="I3" s="152"/>
    </row>
    <row r="4" spans="2:9">
      <c r="B4" s="25"/>
      <c r="C4" s="26"/>
      <c r="D4" s="25"/>
    </row>
    <row r="5" spans="2:9" s="13" customFormat="1" ht="85.5" customHeight="1">
      <c r="B5" s="31" t="s">
        <v>22</v>
      </c>
      <c r="C5" s="153" t="s">
        <v>21</v>
      </c>
      <c r="D5" s="154"/>
      <c r="E5" s="31" t="s">
        <v>0</v>
      </c>
      <c r="F5" s="31" t="s">
        <v>1</v>
      </c>
      <c r="G5" s="31" t="s">
        <v>2</v>
      </c>
      <c r="H5" s="31" t="s">
        <v>19</v>
      </c>
      <c r="I5" s="31" t="s">
        <v>20</v>
      </c>
    </row>
    <row r="6" spans="2:9" ht="29.25" customHeight="1">
      <c r="B6" s="144">
        <v>0.1</v>
      </c>
      <c r="C6" s="72" t="s">
        <v>83</v>
      </c>
      <c r="D6" s="78" t="s">
        <v>26</v>
      </c>
      <c r="E6" s="77"/>
      <c r="F6" s="75"/>
      <c r="G6" s="76"/>
      <c r="H6" s="34"/>
      <c r="I6" s="35"/>
    </row>
    <row r="7" spans="2:9" ht="53.25" customHeight="1">
      <c r="B7" s="144"/>
      <c r="C7" s="47">
        <v>1</v>
      </c>
      <c r="D7" s="27" t="s">
        <v>70</v>
      </c>
      <c r="E7" s="43">
        <v>0</v>
      </c>
      <c r="F7" s="48">
        <f>SUM(B6*E7)/40</f>
        <v>0</v>
      </c>
      <c r="G7" s="39"/>
      <c r="H7" s="36"/>
      <c r="I7" s="27"/>
    </row>
    <row r="8" spans="2:9" ht="55.5" customHeight="1">
      <c r="B8" s="144"/>
      <c r="C8" s="47">
        <v>2</v>
      </c>
      <c r="D8" s="27" t="s">
        <v>71</v>
      </c>
      <c r="E8" s="43">
        <v>0</v>
      </c>
      <c r="F8" s="48">
        <f>SUM(B6*E8)/40</f>
        <v>0</v>
      </c>
      <c r="G8" s="39"/>
      <c r="H8" s="36"/>
      <c r="I8" s="27"/>
    </row>
    <row r="9" spans="2:9" ht="41.25" customHeight="1">
      <c r="B9" s="144"/>
      <c r="C9" s="47">
        <v>3</v>
      </c>
      <c r="D9" s="27" t="s">
        <v>84</v>
      </c>
      <c r="E9" s="43">
        <v>0</v>
      </c>
      <c r="F9" s="48">
        <f>SUM(B6*E9)/40</f>
        <v>0</v>
      </c>
      <c r="G9" s="39"/>
      <c r="H9" s="36"/>
      <c r="I9" s="27"/>
    </row>
    <row r="10" spans="2:9" ht="49.5" customHeight="1">
      <c r="B10" s="144"/>
      <c r="C10" s="47">
        <v>4</v>
      </c>
      <c r="D10" s="27" t="s">
        <v>127</v>
      </c>
      <c r="E10" s="43">
        <v>0</v>
      </c>
      <c r="F10" s="48">
        <f>SUM(B6*E10)/40</f>
        <v>0</v>
      </c>
      <c r="G10" s="39"/>
      <c r="H10" s="36"/>
      <c r="I10" s="27"/>
    </row>
    <row r="11" spans="2:9" ht="45" customHeight="1">
      <c r="B11" s="144"/>
      <c r="C11" s="47">
        <v>5</v>
      </c>
      <c r="D11" s="27" t="s">
        <v>130</v>
      </c>
      <c r="E11" s="43">
        <v>0</v>
      </c>
      <c r="F11" s="48">
        <f>SUM(B6*E11)/40</f>
        <v>0</v>
      </c>
      <c r="G11" s="39"/>
      <c r="H11" s="36"/>
      <c r="I11" s="27"/>
    </row>
    <row r="12" spans="2:9" ht="36.75" customHeight="1">
      <c r="B12" s="144"/>
      <c r="C12" s="47">
        <v>6</v>
      </c>
      <c r="D12" s="27" t="s">
        <v>128</v>
      </c>
      <c r="E12" s="43">
        <v>0</v>
      </c>
      <c r="F12" s="48">
        <f>SUM(B6*E12)/40</f>
        <v>0</v>
      </c>
      <c r="G12" s="39"/>
      <c r="H12" s="36"/>
      <c r="I12" s="27"/>
    </row>
    <row r="13" spans="2:9" ht="24.75" customHeight="1">
      <c r="B13" s="144"/>
      <c r="C13" s="68"/>
      <c r="D13" s="61"/>
      <c r="E13" s="80" t="s">
        <v>3</v>
      </c>
      <c r="F13" s="69">
        <f>SUM(F7:F12)</f>
        <v>0</v>
      </c>
      <c r="G13" s="39"/>
      <c r="H13" s="34"/>
      <c r="I13" s="34"/>
    </row>
    <row r="14" spans="2:9" ht="27" customHeight="1">
      <c r="B14" s="144"/>
      <c r="C14" s="51" t="s">
        <v>24</v>
      </c>
      <c r="D14" s="52" t="s">
        <v>126</v>
      </c>
      <c r="E14" s="53"/>
      <c r="F14" s="54"/>
      <c r="G14" s="50"/>
      <c r="H14" s="85"/>
      <c r="I14" s="85"/>
    </row>
    <row r="15" spans="2:9" s="115" customFormat="1" ht="38.25" customHeight="1">
      <c r="B15" s="144"/>
      <c r="C15" s="47">
        <v>1</v>
      </c>
      <c r="D15" s="35" t="s">
        <v>90</v>
      </c>
      <c r="E15" s="43">
        <v>0</v>
      </c>
      <c r="F15" s="48">
        <f>SUM(B6*E15)/40</f>
        <v>0</v>
      </c>
      <c r="G15" s="39"/>
      <c r="H15" s="28"/>
      <c r="I15" s="27"/>
    </row>
    <row r="16" spans="2:9" s="115" customFormat="1" ht="35.25" customHeight="1">
      <c r="B16" s="144"/>
      <c r="C16" s="47">
        <v>2</v>
      </c>
      <c r="D16" s="35" t="s">
        <v>175</v>
      </c>
      <c r="E16" s="43">
        <v>0</v>
      </c>
      <c r="F16" s="48">
        <f>SUM(B6*E16)/40</f>
        <v>0</v>
      </c>
      <c r="G16" s="39"/>
      <c r="H16" s="28"/>
      <c r="I16" s="27"/>
    </row>
    <row r="17" spans="2:9" s="115" customFormat="1" ht="42.75" customHeight="1">
      <c r="B17" s="144"/>
      <c r="C17" s="47">
        <v>3</v>
      </c>
      <c r="D17" s="27" t="s">
        <v>129</v>
      </c>
      <c r="E17" s="43">
        <v>0</v>
      </c>
      <c r="F17" s="48">
        <f>SUM(B6*E17)/40</f>
        <v>0</v>
      </c>
      <c r="G17" s="39"/>
      <c r="H17" s="28"/>
      <c r="I17" s="27"/>
    </row>
    <row r="18" spans="2:9" s="115" customFormat="1" ht="36.75" customHeight="1">
      <c r="B18" s="144"/>
      <c r="C18" s="49">
        <v>4</v>
      </c>
      <c r="D18" s="35" t="s">
        <v>91</v>
      </c>
      <c r="E18" s="43">
        <v>0</v>
      </c>
      <c r="F18" s="48">
        <f>SUM(B6*E18)/40</f>
        <v>0</v>
      </c>
      <c r="G18" s="39"/>
      <c r="H18" s="35"/>
      <c r="I18" s="27"/>
    </row>
    <row r="19" spans="2:9" ht="24.75" customHeight="1">
      <c r="B19" s="144"/>
      <c r="C19" s="68"/>
      <c r="D19" s="61"/>
      <c r="E19" s="80" t="s">
        <v>3</v>
      </c>
      <c r="F19" s="69">
        <f>SUM(F15:F18)</f>
        <v>0</v>
      </c>
      <c r="G19" s="39"/>
      <c r="H19" s="34"/>
      <c r="I19" s="34"/>
    </row>
    <row r="20" spans="2:9" ht="27" customHeight="1">
      <c r="B20" s="144"/>
      <c r="C20" s="51" t="s">
        <v>74</v>
      </c>
      <c r="D20" s="52" t="s">
        <v>131</v>
      </c>
      <c r="E20" s="53"/>
      <c r="F20" s="54"/>
      <c r="G20" s="50"/>
      <c r="H20" s="85"/>
      <c r="I20" s="85"/>
    </row>
    <row r="21" spans="2:9" s="115" customFormat="1" ht="38.25" customHeight="1">
      <c r="B21" s="144"/>
      <c r="C21" s="47">
        <v>1</v>
      </c>
      <c r="D21" s="35" t="s">
        <v>132</v>
      </c>
      <c r="E21" s="43">
        <v>0</v>
      </c>
      <c r="F21" s="48">
        <f>SUM(B6*E21)/20</f>
        <v>0</v>
      </c>
      <c r="G21" s="39"/>
      <c r="H21" s="28"/>
      <c r="I21" s="27"/>
    </row>
    <row r="22" spans="2:9" s="115" customFormat="1" ht="51" customHeight="1">
      <c r="B22" s="144"/>
      <c r="C22" s="47">
        <v>2</v>
      </c>
      <c r="D22" s="35" t="s">
        <v>133</v>
      </c>
      <c r="E22" s="43">
        <v>0</v>
      </c>
      <c r="F22" s="48">
        <f>SUM(B6*E22)/20</f>
        <v>0</v>
      </c>
      <c r="G22" s="39"/>
      <c r="H22" s="28"/>
      <c r="I22" s="27"/>
    </row>
    <row r="23" spans="2:9" s="115" customFormat="1" ht="42.75" customHeight="1">
      <c r="B23" s="144"/>
      <c r="C23" s="47">
        <v>3</v>
      </c>
      <c r="D23" s="27" t="s">
        <v>134</v>
      </c>
      <c r="E23" s="43">
        <v>0</v>
      </c>
      <c r="F23" s="48">
        <f>SUM(B6*E23)/20</f>
        <v>0</v>
      </c>
      <c r="G23" s="39"/>
      <c r="H23" s="28"/>
      <c r="I23" s="27"/>
    </row>
    <row r="24" spans="2:9" s="115" customFormat="1" ht="36.75" customHeight="1">
      <c r="B24" s="144"/>
      <c r="C24" s="49">
        <v>4</v>
      </c>
      <c r="D24" s="35" t="s">
        <v>135</v>
      </c>
      <c r="E24" s="43">
        <v>0</v>
      </c>
      <c r="F24" s="48">
        <f>SUM(B6*E24)/20</f>
        <v>0</v>
      </c>
      <c r="G24" s="39"/>
      <c r="H24" s="35"/>
      <c r="I24" s="27"/>
    </row>
    <row r="25" spans="2:9" s="115" customFormat="1" ht="36.75" customHeight="1">
      <c r="B25" s="144"/>
      <c r="C25" s="49">
        <v>5</v>
      </c>
      <c r="D25" s="35" t="s">
        <v>136</v>
      </c>
      <c r="E25" s="43">
        <v>0</v>
      </c>
      <c r="F25" s="48">
        <f>SUM(B6*E25)/20</f>
        <v>0</v>
      </c>
      <c r="G25" s="39"/>
      <c r="H25" s="35"/>
      <c r="I25" s="27"/>
    </row>
    <row r="26" spans="2:9" ht="23.25" customHeight="1">
      <c r="B26" s="149"/>
      <c r="C26" s="101"/>
      <c r="D26" s="102"/>
      <c r="E26" s="103" t="s">
        <v>3</v>
      </c>
      <c r="F26" s="104">
        <f>SUM(F21:F25)</f>
        <v>0</v>
      </c>
      <c r="G26" s="50"/>
      <c r="H26" s="86"/>
      <c r="I26" s="85"/>
    </row>
    <row r="27" spans="2:9" customFormat="1" ht="15.75">
      <c r="B27" s="131"/>
      <c r="C27" s="58"/>
      <c r="D27" s="62" t="s">
        <v>3</v>
      </c>
      <c r="E27" s="63"/>
      <c r="F27" s="44">
        <f>F26+F19+F13</f>
        <v>0</v>
      </c>
      <c r="G27" s="50"/>
      <c r="H27" s="79"/>
      <c r="I27" s="79"/>
    </row>
  </sheetData>
  <mergeCells count="4">
    <mergeCell ref="B2:I2"/>
    <mergeCell ref="B3:I3"/>
    <mergeCell ref="C5:D5"/>
    <mergeCell ref="B6:B26"/>
  </mergeCells>
  <conditionalFormatting sqref="E7:E12">
    <cfRule type="cellIs" dxfId="65" priority="7" operator="equal">
      <formula>2</formula>
    </cfRule>
    <cfRule type="cellIs" dxfId="64" priority="8" operator="equal">
      <formula>1</formula>
    </cfRule>
    <cfRule type="cellIs" dxfId="63" priority="9" operator="equal">
      <formula>0</formula>
    </cfRule>
  </conditionalFormatting>
  <conditionalFormatting sqref="E15:E18">
    <cfRule type="cellIs" dxfId="59" priority="4" operator="equal">
      <formula>2</formula>
    </cfRule>
    <cfRule type="cellIs" dxfId="58" priority="5" operator="equal">
      <formula>1</formula>
    </cfRule>
    <cfRule type="cellIs" dxfId="57" priority="6" operator="equal">
      <formula>0</formula>
    </cfRule>
  </conditionalFormatting>
  <conditionalFormatting sqref="E21:E25">
    <cfRule type="cellIs" dxfId="53" priority="1" operator="equal">
      <formula>2</formula>
    </cfRule>
    <cfRule type="cellIs" dxfId="52" priority="2" operator="equal">
      <formula>1</formula>
    </cfRule>
    <cfRule type="cellIs" dxfId="51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0"/>
  <sheetViews>
    <sheetView topLeftCell="A28" zoomScale="70" zoomScaleNormal="70" workbookViewId="0">
      <selection activeCell="E35" sqref="E35:E38"/>
    </sheetView>
  </sheetViews>
  <sheetFormatPr defaultColWidth="9" defaultRowHeight="18.75"/>
  <cols>
    <col min="1" max="1" width="8.7109375" style="15" customWidth="1"/>
    <col min="2" max="2" width="13.7109375" style="14" customWidth="1"/>
    <col min="3" max="3" width="5.7109375" style="16" customWidth="1"/>
    <col min="4" max="4" width="57.7109375" style="16" customWidth="1"/>
    <col min="5" max="6" width="17.7109375" style="15" customWidth="1"/>
    <col min="7" max="7" width="35.7109375" style="15" customWidth="1"/>
    <col min="8" max="8" width="50.7109375" style="30" customWidth="1"/>
    <col min="9" max="9" width="55.7109375" style="15" customWidth="1"/>
    <col min="10" max="16384" width="9" style="15"/>
  </cols>
  <sheetData>
    <row r="1" spans="2:9" ht="23.25">
      <c r="B1" s="24"/>
      <c r="C1" s="24"/>
      <c r="D1" s="24"/>
      <c r="E1" s="24"/>
      <c r="F1" s="24"/>
      <c r="G1" s="24"/>
      <c r="H1" s="29"/>
      <c r="I1" s="24"/>
    </row>
    <row r="2" spans="2:9" ht="21">
      <c r="B2" s="151"/>
      <c r="C2" s="151"/>
      <c r="D2" s="151"/>
      <c r="E2" s="151"/>
      <c r="F2" s="151"/>
      <c r="G2" s="151"/>
      <c r="H2" s="151"/>
      <c r="I2" s="151"/>
    </row>
    <row r="3" spans="2:9" ht="23.25">
      <c r="B3" s="152" t="s">
        <v>73</v>
      </c>
      <c r="C3" s="152"/>
      <c r="D3" s="152"/>
      <c r="E3" s="152"/>
      <c r="F3" s="152"/>
      <c r="G3" s="152"/>
      <c r="H3" s="152"/>
      <c r="I3" s="152"/>
    </row>
    <row r="4" spans="2:9">
      <c r="B4" s="25"/>
      <c r="C4" s="26"/>
      <c r="D4" s="25"/>
    </row>
    <row r="5" spans="2:9" s="13" customFormat="1" ht="85.5" customHeight="1">
      <c r="B5" s="31" t="s">
        <v>22</v>
      </c>
      <c r="C5" s="150" t="s">
        <v>21</v>
      </c>
      <c r="D5" s="150"/>
      <c r="E5" s="31" t="s">
        <v>0</v>
      </c>
      <c r="F5" s="31" t="s">
        <v>1</v>
      </c>
      <c r="G5" s="31" t="s">
        <v>2</v>
      </c>
      <c r="H5" s="31" t="s">
        <v>19</v>
      </c>
      <c r="I5" s="31" t="s">
        <v>20</v>
      </c>
    </row>
    <row r="6" spans="2:9" ht="27" customHeight="1">
      <c r="B6" s="143">
        <v>0.15</v>
      </c>
      <c r="C6" s="72" t="s">
        <v>23</v>
      </c>
      <c r="D6" s="73" t="s">
        <v>25</v>
      </c>
      <c r="E6" s="74"/>
      <c r="F6" s="75"/>
      <c r="G6" s="56"/>
      <c r="H6" s="82"/>
      <c r="I6" s="79"/>
    </row>
    <row r="7" spans="2:9" ht="39.950000000000003" customHeight="1">
      <c r="B7" s="144"/>
      <c r="C7" s="47">
        <v>1</v>
      </c>
      <c r="D7" s="35" t="s">
        <v>55</v>
      </c>
      <c r="E7" s="43">
        <v>0</v>
      </c>
      <c r="F7" s="48">
        <f>SUM(B6*E7)/40</f>
        <v>0</v>
      </c>
      <c r="G7" s="39"/>
      <c r="H7" s="34"/>
      <c r="I7" s="34"/>
    </row>
    <row r="8" spans="2:9" ht="39.950000000000003" customHeight="1">
      <c r="B8" s="144"/>
      <c r="C8" s="47">
        <v>2</v>
      </c>
      <c r="D8" s="35" t="s">
        <v>37</v>
      </c>
      <c r="E8" s="43">
        <v>0</v>
      </c>
      <c r="F8" s="48">
        <f>SUM(B6*E8)/40</f>
        <v>0</v>
      </c>
      <c r="G8" s="39"/>
      <c r="H8" s="34"/>
      <c r="I8" s="34"/>
    </row>
    <row r="9" spans="2:9" ht="39.950000000000003" customHeight="1">
      <c r="B9" s="144"/>
      <c r="C9" s="47">
        <v>3</v>
      </c>
      <c r="D9" s="35" t="s">
        <v>38</v>
      </c>
      <c r="E9" s="43">
        <v>0</v>
      </c>
      <c r="F9" s="48">
        <f>SUM(B6*E9)/40</f>
        <v>0</v>
      </c>
      <c r="G9" s="39"/>
      <c r="H9" s="34"/>
      <c r="I9" s="34"/>
    </row>
    <row r="10" spans="2:9" ht="39.950000000000003" customHeight="1">
      <c r="B10" s="144"/>
      <c r="C10" s="47">
        <v>4</v>
      </c>
      <c r="D10" s="35" t="s">
        <v>176</v>
      </c>
      <c r="E10" s="43">
        <v>0</v>
      </c>
      <c r="F10" s="48">
        <f>SUM(B6*E10)/40</f>
        <v>0</v>
      </c>
      <c r="G10" s="39"/>
      <c r="H10" s="34"/>
      <c r="I10" s="34"/>
    </row>
    <row r="11" spans="2:9" ht="27.75" customHeight="1">
      <c r="B11" s="144"/>
      <c r="C11" s="68"/>
      <c r="D11" s="71"/>
      <c r="E11" s="70" t="s">
        <v>3</v>
      </c>
      <c r="F11" s="69">
        <f>SUM(F7:F10)</f>
        <v>0</v>
      </c>
      <c r="G11" s="39"/>
      <c r="H11" s="34"/>
      <c r="I11" s="34"/>
    </row>
    <row r="12" spans="2:9" ht="30.75" customHeight="1">
      <c r="B12" s="144"/>
      <c r="C12" s="72" t="s">
        <v>24</v>
      </c>
      <c r="D12" s="73" t="s">
        <v>39</v>
      </c>
      <c r="E12" s="77"/>
      <c r="F12" s="75"/>
      <c r="G12" s="56"/>
      <c r="H12" s="82"/>
      <c r="I12" s="82"/>
    </row>
    <row r="13" spans="2:9" ht="52.5" customHeight="1">
      <c r="B13" s="144"/>
      <c r="C13" s="47">
        <v>1</v>
      </c>
      <c r="D13" s="136" t="s">
        <v>138</v>
      </c>
      <c r="E13" s="43">
        <v>0</v>
      </c>
      <c r="F13" s="48">
        <f>SUM(B6*E13)/60</f>
        <v>0</v>
      </c>
      <c r="G13" s="39"/>
      <c r="H13" s="34"/>
      <c r="I13" s="34"/>
    </row>
    <row r="14" spans="2:9" ht="52.5" customHeight="1">
      <c r="B14" s="144"/>
      <c r="C14" s="47">
        <v>2</v>
      </c>
      <c r="D14" s="137" t="s">
        <v>142</v>
      </c>
      <c r="E14" s="43">
        <v>0</v>
      </c>
      <c r="F14" s="48">
        <f>SUM(B6*E14)/60</f>
        <v>0</v>
      </c>
      <c r="G14" s="39"/>
      <c r="H14" s="34"/>
      <c r="I14" s="34"/>
    </row>
    <row r="15" spans="2:9" s="40" customFormat="1" ht="36.75" customHeight="1">
      <c r="B15" s="144"/>
      <c r="C15" s="47">
        <v>3</v>
      </c>
      <c r="D15" s="35" t="s">
        <v>40</v>
      </c>
      <c r="E15" s="105"/>
      <c r="F15" s="106"/>
      <c r="G15" s="107"/>
      <c r="H15" s="110"/>
      <c r="I15" s="110"/>
    </row>
    <row r="16" spans="2:9" ht="54" customHeight="1">
      <c r="B16" s="144"/>
      <c r="C16" s="138" t="s">
        <v>178</v>
      </c>
      <c r="D16" s="35" t="s">
        <v>177</v>
      </c>
      <c r="E16" s="43">
        <v>0</v>
      </c>
      <c r="F16" s="48">
        <f>SUM(B6*E16)/60</f>
        <v>0</v>
      </c>
      <c r="G16" s="39"/>
      <c r="H16" s="34"/>
      <c r="I16" s="34"/>
    </row>
    <row r="17" spans="2:9" ht="63.75" customHeight="1">
      <c r="B17" s="144"/>
      <c r="C17" s="138" t="s">
        <v>181</v>
      </c>
      <c r="D17" s="35" t="s">
        <v>179</v>
      </c>
      <c r="E17" s="43">
        <v>0</v>
      </c>
      <c r="F17" s="48">
        <f>SUM(B6*E17)/60</f>
        <v>0</v>
      </c>
      <c r="G17" s="39"/>
      <c r="H17" s="34"/>
      <c r="I17" s="34"/>
    </row>
    <row r="18" spans="2:9" ht="47.25" customHeight="1">
      <c r="B18" s="144"/>
      <c r="C18" s="138" t="s">
        <v>182</v>
      </c>
      <c r="D18" s="35" t="s">
        <v>180</v>
      </c>
      <c r="E18" s="43">
        <v>0</v>
      </c>
      <c r="F18" s="48">
        <f>SUM(B6*E18)/60</f>
        <v>0</v>
      </c>
      <c r="G18" s="39"/>
      <c r="H18" s="34"/>
      <c r="I18" s="34"/>
    </row>
    <row r="19" spans="2:9" ht="36.75" customHeight="1">
      <c r="B19" s="144"/>
      <c r="C19" s="49">
        <v>4</v>
      </c>
      <c r="D19" s="79" t="s">
        <v>41</v>
      </c>
      <c r="E19" s="105"/>
      <c r="F19" s="106"/>
      <c r="G19" s="106"/>
      <c r="H19" s="109"/>
      <c r="I19" s="109"/>
    </row>
    <row r="20" spans="2:9" ht="39" customHeight="1">
      <c r="B20" s="144"/>
      <c r="C20" s="138" t="s">
        <v>178</v>
      </c>
      <c r="D20" s="35" t="s">
        <v>183</v>
      </c>
      <c r="E20" s="43">
        <v>0</v>
      </c>
      <c r="F20" s="48">
        <f>SUM(B6*E20)/60</f>
        <v>0</v>
      </c>
      <c r="G20" s="39"/>
      <c r="H20" s="34"/>
      <c r="I20" s="34"/>
    </row>
    <row r="21" spans="2:9" ht="40.5" customHeight="1">
      <c r="B21" s="144"/>
      <c r="C21" s="139" t="s">
        <v>181</v>
      </c>
      <c r="D21" s="55" t="s">
        <v>184</v>
      </c>
      <c r="E21" s="43">
        <v>0</v>
      </c>
      <c r="F21" s="48">
        <f>SUM(B6*E21)/60</f>
        <v>0</v>
      </c>
      <c r="G21" s="56"/>
      <c r="H21" s="34"/>
      <c r="I21" s="34"/>
    </row>
    <row r="22" spans="2:9" ht="51" customHeight="1">
      <c r="B22" s="144"/>
      <c r="C22" s="138" t="s">
        <v>182</v>
      </c>
      <c r="D22" s="33" t="s">
        <v>185</v>
      </c>
      <c r="E22" s="43">
        <v>0</v>
      </c>
      <c r="F22" s="48">
        <f>SUM(B6*E22)/60</f>
        <v>0</v>
      </c>
      <c r="G22" s="56"/>
      <c r="H22" s="34"/>
      <c r="I22" s="34"/>
    </row>
    <row r="23" spans="2:9" ht="38.25" customHeight="1">
      <c r="B23" s="144"/>
      <c r="C23" s="47">
        <v>5</v>
      </c>
      <c r="D23" s="35" t="s">
        <v>51</v>
      </c>
      <c r="E23" s="105"/>
      <c r="F23" s="106"/>
      <c r="G23" s="107"/>
      <c r="H23" s="110"/>
      <c r="I23" s="110"/>
    </row>
    <row r="24" spans="2:9" ht="47.25" customHeight="1">
      <c r="B24" s="144"/>
      <c r="C24" s="138" t="s">
        <v>178</v>
      </c>
      <c r="D24" s="27" t="s">
        <v>186</v>
      </c>
      <c r="E24" s="43">
        <v>0</v>
      </c>
      <c r="F24" s="48">
        <f>SUM(B6*E24)/60</f>
        <v>0</v>
      </c>
      <c r="G24" s="56"/>
      <c r="H24" s="36"/>
      <c r="I24" s="27"/>
    </row>
    <row r="25" spans="2:9" ht="37.5" customHeight="1">
      <c r="B25" s="144"/>
      <c r="C25" s="138" t="s">
        <v>181</v>
      </c>
      <c r="D25" s="27" t="s">
        <v>187</v>
      </c>
      <c r="E25" s="43">
        <v>0</v>
      </c>
      <c r="F25" s="48">
        <f>SUM(B6*E25)/60</f>
        <v>0</v>
      </c>
      <c r="G25" s="56"/>
      <c r="H25" s="36"/>
      <c r="I25" s="27"/>
    </row>
    <row r="26" spans="2:9" ht="41.25" customHeight="1">
      <c r="B26" s="144"/>
      <c r="C26" s="138" t="s">
        <v>182</v>
      </c>
      <c r="D26" s="27" t="s">
        <v>188</v>
      </c>
      <c r="E26" s="43">
        <v>0</v>
      </c>
      <c r="F26" s="48">
        <f>SUM(B6*E26)/60</f>
        <v>0</v>
      </c>
      <c r="G26" s="56"/>
      <c r="H26" s="36"/>
      <c r="I26" s="27"/>
    </row>
    <row r="27" spans="2:9" ht="41.25" customHeight="1">
      <c r="B27" s="144"/>
      <c r="C27" s="138" t="s">
        <v>190</v>
      </c>
      <c r="D27" s="27" t="s">
        <v>189</v>
      </c>
      <c r="E27" s="43">
        <v>0</v>
      </c>
      <c r="F27" s="48">
        <f>SUM(B6*E27)/60</f>
        <v>0</v>
      </c>
      <c r="G27" s="56"/>
      <c r="H27" s="36"/>
      <c r="I27" s="27"/>
    </row>
    <row r="28" spans="2:9" ht="31.5" customHeight="1">
      <c r="B28" s="144"/>
      <c r="C28" s="47">
        <v>6</v>
      </c>
      <c r="D28" s="27" t="s">
        <v>42</v>
      </c>
      <c r="E28" s="105"/>
      <c r="F28" s="106"/>
      <c r="G28" s="107"/>
      <c r="H28" s="108"/>
      <c r="I28" s="109"/>
    </row>
    <row r="29" spans="2:9" ht="37.5" customHeight="1">
      <c r="B29" s="144"/>
      <c r="C29" s="138" t="s">
        <v>178</v>
      </c>
      <c r="D29" s="27" t="s">
        <v>191</v>
      </c>
      <c r="E29" s="43">
        <v>0</v>
      </c>
      <c r="F29" s="48">
        <f>SUM(B6*E29)/60</f>
        <v>0</v>
      </c>
      <c r="G29" s="56"/>
      <c r="H29" s="36"/>
      <c r="I29" s="27"/>
    </row>
    <row r="30" spans="2:9" ht="38.25" customHeight="1">
      <c r="B30" s="144"/>
      <c r="C30" s="138" t="s">
        <v>181</v>
      </c>
      <c r="D30" s="27" t="s">
        <v>192</v>
      </c>
      <c r="E30" s="43">
        <v>0</v>
      </c>
      <c r="F30" s="48">
        <f>SUM(B6*E30)/60</f>
        <v>0</v>
      </c>
      <c r="G30" s="56"/>
      <c r="H30" s="36"/>
      <c r="I30" s="27"/>
    </row>
    <row r="31" spans="2:9" ht="38.25" customHeight="1">
      <c r="B31" s="144"/>
      <c r="C31" s="138" t="s">
        <v>182</v>
      </c>
      <c r="D31" s="27" t="s">
        <v>193</v>
      </c>
      <c r="E31" s="43">
        <v>0</v>
      </c>
      <c r="F31" s="48">
        <f>SUM(B6*E31)/60</f>
        <v>0</v>
      </c>
      <c r="G31" s="56"/>
      <c r="H31" s="36"/>
      <c r="I31" s="27"/>
    </row>
    <row r="32" spans="2:9" ht="41.25" customHeight="1">
      <c r="B32" s="144"/>
      <c r="C32" s="47">
        <v>7</v>
      </c>
      <c r="D32" s="27" t="s">
        <v>137</v>
      </c>
      <c r="E32" s="43">
        <v>0</v>
      </c>
      <c r="F32" s="48">
        <f>SUM(B6*E32)/60</f>
        <v>0</v>
      </c>
      <c r="G32" s="56"/>
      <c r="H32" s="36"/>
      <c r="I32" s="27"/>
    </row>
    <row r="33" spans="2:9" ht="24.75" customHeight="1">
      <c r="B33" s="144"/>
      <c r="C33" s="68"/>
      <c r="D33" s="61"/>
      <c r="E33" s="80" t="s">
        <v>3</v>
      </c>
      <c r="F33" s="69">
        <f>SUM(F13:F32)</f>
        <v>0</v>
      </c>
      <c r="G33" s="56"/>
      <c r="H33" s="36"/>
      <c r="I33" s="37"/>
    </row>
    <row r="34" spans="2:9" ht="30.75" customHeight="1">
      <c r="B34" s="144"/>
      <c r="C34" s="72" t="s">
        <v>74</v>
      </c>
      <c r="D34" s="73" t="s">
        <v>141</v>
      </c>
      <c r="E34" s="77"/>
      <c r="F34" s="75"/>
      <c r="G34" s="56"/>
      <c r="H34" s="82"/>
      <c r="I34" s="82"/>
    </row>
    <row r="35" spans="2:9" ht="54.75" customHeight="1">
      <c r="B35" s="144"/>
      <c r="C35" s="47">
        <v>1</v>
      </c>
      <c r="D35" s="136" t="s">
        <v>139</v>
      </c>
      <c r="E35" s="43">
        <v>0</v>
      </c>
      <c r="F35" s="48">
        <f>SUM(B6*E35)/30</f>
        <v>0</v>
      </c>
      <c r="G35" s="39"/>
      <c r="H35" s="34"/>
      <c r="I35" s="34"/>
    </row>
    <row r="36" spans="2:9" s="40" customFormat="1" ht="51.75" customHeight="1">
      <c r="B36" s="144"/>
      <c r="C36" s="47">
        <v>2</v>
      </c>
      <c r="D36" s="137" t="s">
        <v>140</v>
      </c>
      <c r="E36" s="43">
        <v>0</v>
      </c>
      <c r="F36" s="48">
        <f>SUM(B6*E36)/30</f>
        <v>0</v>
      </c>
      <c r="G36" s="39"/>
      <c r="H36" s="34"/>
      <c r="I36" s="34"/>
    </row>
    <row r="37" spans="2:9" ht="54" customHeight="1">
      <c r="B37" s="144"/>
      <c r="C37" s="47">
        <v>3</v>
      </c>
      <c r="D37" s="35" t="s">
        <v>143</v>
      </c>
      <c r="E37" s="43">
        <v>0</v>
      </c>
      <c r="F37" s="48">
        <f>SUM(B6*E37)/30</f>
        <v>0</v>
      </c>
      <c r="G37" s="39"/>
      <c r="H37" s="34"/>
      <c r="I37" s="34"/>
    </row>
    <row r="38" spans="2:9" ht="54" customHeight="1">
      <c r="B38" s="144"/>
      <c r="C38" s="47">
        <v>4</v>
      </c>
      <c r="D38" s="35" t="s">
        <v>155</v>
      </c>
      <c r="E38" s="43">
        <v>0</v>
      </c>
      <c r="F38" s="48">
        <f>SUM(B6*E38)/30</f>
        <v>0</v>
      </c>
      <c r="G38" s="39"/>
      <c r="H38" s="34"/>
      <c r="I38" s="34"/>
    </row>
    <row r="39" spans="2:9" ht="24.75" customHeight="1">
      <c r="B39" s="144"/>
      <c r="C39" s="68"/>
      <c r="D39" s="61"/>
      <c r="E39" s="80" t="s">
        <v>3</v>
      </c>
      <c r="F39" s="69">
        <f>SUM(F35:F38)</f>
        <v>0</v>
      </c>
      <c r="G39" s="56"/>
      <c r="H39" s="36"/>
      <c r="I39" s="37"/>
    </row>
    <row r="40" spans="2:9" ht="24.75" customHeight="1">
      <c r="B40" s="149"/>
      <c r="C40" s="58"/>
      <c r="D40" s="81" t="s">
        <v>3</v>
      </c>
      <c r="E40" s="63"/>
      <c r="F40" s="64">
        <f>F39+F33+F11</f>
        <v>0</v>
      </c>
      <c r="G40" s="56"/>
      <c r="H40" s="36"/>
      <c r="I40" s="37"/>
    </row>
  </sheetData>
  <mergeCells count="4">
    <mergeCell ref="B6:B40"/>
    <mergeCell ref="B2:I2"/>
    <mergeCell ref="B3:I3"/>
    <mergeCell ref="C5:D5"/>
  </mergeCells>
  <conditionalFormatting sqref="E7:E10">
    <cfRule type="cellIs" dxfId="47" priority="19" operator="equal">
      <formula>2</formula>
    </cfRule>
    <cfRule type="cellIs" dxfId="46" priority="20" operator="equal">
      <formula>1</formula>
    </cfRule>
    <cfRule type="cellIs" dxfId="45" priority="21" operator="equal">
      <formula>0</formula>
    </cfRule>
  </conditionalFormatting>
  <conditionalFormatting sqref="E13:E14">
    <cfRule type="cellIs" dxfId="41" priority="16" operator="equal">
      <formula>2</formula>
    </cfRule>
    <cfRule type="cellIs" dxfId="40" priority="17" operator="equal">
      <formula>1</formula>
    </cfRule>
    <cfRule type="cellIs" dxfId="39" priority="18" operator="equal">
      <formula>0</formula>
    </cfRule>
  </conditionalFormatting>
  <conditionalFormatting sqref="E16:E18">
    <cfRule type="cellIs" dxfId="35" priority="13" operator="equal">
      <formula>2</formula>
    </cfRule>
    <cfRule type="cellIs" dxfId="34" priority="14" operator="equal">
      <formula>1</formula>
    </cfRule>
    <cfRule type="cellIs" dxfId="33" priority="15" operator="equal">
      <formula>0</formula>
    </cfRule>
  </conditionalFormatting>
  <conditionalFormatting sqref="E20:E22">
    <cfRule type="cellIs" dxfId="29" priority="10" operator="equal">
      <formula>2</formula>
    </cfRule>
    <cfRule type="cellIs" dxfId="28" priority="11" operator="equal">
      <formula>1</formula>
    </cfRule>
    <cfRule type="cellIs" dxfId="27" priority="12" operator="equal">
      <formula>0</formula>
    </cfRule>
  </conditionalFormatting>
  <conditionalFormatting sqref="E24:E27">
    <cfRule type="cellIs" dxfId="23" priority="7" operator="equal">
      <formula>2</formula>
    </cfRule>
    <cfRule type="cellIs" dxfId="22" priority="8" operator="equal">
      <formula>1</formula>
    </cfRule>
    <cfRule type="cellIs" dxfId="21" priority="9" operator="equal">
      <formula>0</formula>
    </cfRule>
  </conditionalFormatting>
  <conditionalFormatting sqref="E29:E32">
    <cfRule type="cellIs" dxfId="17" priority="4" operator="equal">
      <formula>2</formula>
    </cfRule>
    <cfRule type="cellIs" dxfId="16" priority="5" operator="equal">
      <formula>1</formula>
    </cfRule>
    <cfRule type="cellIs" dxfId="15" priority="6" operator="equal">
      <formula>0</formula>
    </cfRule>
  </conditionalFormatting>
  <conditionalFormatting sqref="E35:E38">
    <cfRule type="cellIs" dxfId="11" priority="1" operator="equal">
      <formula>2</formula>
    </cfRule>
    <cfRule type="cellIs" dxfId="10" priority="2" operator="equal">
      <formula>1</formula>
    </cfRule>
    <cfRule type="cellIs" dxfId="9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tabSelected="1" zoomScale="68" zoomScaleNormal="68" workbookViewId="0">
      <selection activeCell="G27" sqref="G27"/>
    </sheetView>
  </sheetViews>
  <sheetFormatPr defaultColWidth="9" defaultRowHeight="18.75"/>
  <cols>
    <col min="1" max="1" width="8.7109375" style="15" customWidth="1"/>
    <col min="2" max="2" width="13.7109375" style="14" customWidth="1"/>
    <col min="3" max="3" width="5.7109375" style="16" customWidth="1"/>
    <col min="4" max="4" width="57.7109375" style="16" customWidth="1"/>
    <col min="5" max="6" width="17.7109375" style="15" customWidth="1"/>
    <col min="7" max="7" width="35.7109375" style="15" customWidth="1"/>
    <col min="8" max="8" width="50.7109375" style="30" customWidth="1"/>
    <col min="9" max="9" width="55.7109375" style="15" customWidth="1"/>
    <col min="10" max="16384" width="9" style="15"/>
  </cols>
  <sheetData>
    <row r="1" spans="2:9" ht="23.25">
      <c r="B1" s="24"/>
      <c r="C1" s="24"/>
      <c r="D1" s="24"/>
      <c r="E1" s="24"/>
      <c r="F1" s="24"/>
      <c r="G1" s="24"/>
      <c r="H1" s="29"/>
      <c r="I1" s="24"/>
    </row>
    <row r="2" spans="2:9" ht="21">
      <c r="B2" s="151"/>
      <c r="C2" s="151"/>
      <c r="D2" s="151"/>
      <c r="E2" s="151"/>
      <c r="F2" s="151"/>
      <c r="G2" s="151"/>
      <c r="H2" s="151"/>
      <c r="I2" s="151"/>
    </row>
    <row r="3" spans="2:9" ht="23.25">
      <c r="B3" s="152" t="s">
        <v>27</v>
      </c>
      <c r="C3" s="152"/>
      <c r="D3" s="152"/>
      <c r="E3" s="152"/>
      <c r="F3" s="152"/>
      <c r="G3" s="152"/>
      <c r="H3" s="152"/>
      <c r="I3" s="152"/>
    </row>
    <row r="4" spans="2:9">
      <c r="B4" s="25"/>
      <c r="C4" s="26"/>
      <c r="D4" s="25"/>
    </row>
    <row r="5" spans="2:9" s="13" customFormat="1" ht="85.5" customHeight="1">
      <c r="B5" s="31" t="s">
        <v>22</v>
      </c>
      <c r="C5" s="150" t="s">
        <v>21</v>
      </c>
      <c r="D5" s="150"/>
      <c r="E5" s="31" t="s">
        <v>0</v>
      </c>
      <c r="F5" s="31" t="s">
        <v>1</v>
      </c>
      <c r="G5" s="31" t="s">
        <v>2</v>
      </c>
      <c r="H5" s="31" t="s">
        <v>19</v>
      </c>
      <c r="I5" s="31" t="s">
        <v>20</v>
      </c>
    </row>
    <row r="6" spans="2:9" ht="23.25" customHeight="1">
      <c r="B6" s="143">
        <v>0.1</v>
      </c>
      <c r="C6" s="112"/>
      <c r="D6" s="113" t="s">
        <v>27</v>
      </c>
      <c r="E6" s="103"/>
      <c r="F6" s="114"/>
      <c r="G6" s="39"/>
      <c r="H6" s="34"/>
      <c r="I6" s="34"/>
    </row>
    <row r="7" spans="2:9" ht="38.25" customHeight="1">
      <c r="B7" s="144"/>
      <c r="C7" s="47">
        <v>1</v>
      </c>
      <c r="D7" s="27" t="s">
        <v>156</v>
      </c>
      <c r="E7" s="43">
        <v>0</v>
      </c>
      <c r="F7" s="48">
        <f>SUM(B6*E7)/20</f>
        <v>0</v>
      </c>
      <c r="G7" s="39"/>
      <c r="H7" s="34"/>
      <c r="I7" s="34"/>
    </row>
    <row r="8" spans="2:9" ht="48.75" customHeight="1">
      <c r="B8" s="144"/>
      <c r="C8" s="47">
        <v>2</v>
      </c>
      <c r="D8" s="27" t="s">
        <v>145</v>
      </c>
      <c r="E8" s="43">
        <v>0</v>
      </c>
      <c r="F8" s="48">
        <f>SUM(B6*E8)/20</f>
        <v>0</v>
      </c>
      <c r="G8" s="39"/>
      <c r="H8" s="34"/>
      <c r="I8" s="34"/>
    </row>
    <row r="9" spans="2:9" ht="34.5" customHeight="1">
      <c r="B9" s="144"/>
      <c r="C9" s="47">
        <v>3</v>
      </c>
      <c r="D9" s="27" t="s">
        <v>75</v>
      </c>
      <c r="E9" s="43">
        <v>0</v>
      </c>
      <c r="F9" s="48">
        <f>SUM(B6*E9)/20</f>
        <v>0</v>
      </c>
      <c r="G9" s="39"/>
      <c r="H9" s="34"/>
      <c r="I9" s="34"/>
    </row>
    <row r="10" spans="2:9" ht="34.5" customHeight="1">
      <c r="B10" s="144"/>
      <c r="C10" s="47">
        <v>4</v>
      </c>
      <c r="D10" s="27" t="s">
        <v>158</v>
      </c>
      <c r="E10" s="43">
        <v>0</v>
      </c>
      <c r="F10" s="48">
        <f>SUM(B6*E10)/20</f>
        <v>0</v>
      </c>
      <c r="G10" s="39"/>
      <c r="H10" s="34"/>
      <c r="I10" s="34"/>
    </row>
    <row r="11" spans="2:9" ht="34.5" customHeight="1">
      <c r="B11" s="144"/>
      <c r="C11" s="47">
        <v>5</v>
      </c>
      <c r="D11" s="27" t="s">
        <v>159</v>
      </c>
      <c r="E11" s="43">
        <v>0</v>
      </c>
      <c r="F11" s="48">
        <f>SUM(B6*E11)/20</f>
        <v>0</v>
      </c>
      <c r="G11" s="39"/>
      <c r="H11" s="34"/>
      <c r="I11" s="34"/>
    </row>
    <row r="12" spans="2:9" ht="49.5" customHeight="1">
      <c r="B12" s="144"/>
      <c r="C12" s="47">
        <v>6</v>
      </c>
      <c r="D12" s="27" t="s">
        <v>157</v>
      </c>
      <c r="E12" s="43">
        <v>0</v>
      </c>
      <c r="F12" s="48">
        <f>SUM(B6*E12)/20</f>
        <v>0</v>
      </c>
      <c r="G12" s="39"/>
      <c r="H12" s="34"/>
      <c r="I12" s="34"/>
    </row>
    <row r="13" spans="2:9" ht="46.5" customHeight="1">
      <c r="B13" s="144"/>
      <c r="C13" s="47">
        <v>7</v>
      </c>
      <c r="D13" s="27" t="s">
        <v>162</v>
      </c>
      <c r="E13" s="43">
        <v>0</v>
      </c>
      <c r="F13" s="48">
        <f>SUM(B6*E13)/20</f>
        <v>0</v>
      </c>
      <c r="G13" s="39"/>
      <c r="H13" s="34"/>
      <c r="I13" s="34"/>
    </row>
    <row r="14" spans="2:9" ht="34.5" customHeight="1">
      <c r="B14" s="144"/>
      <c r="C14" s="47">
        <v>8</v>
      </c>
      <c r="D14" s="27" t="s">
        <v>160</v>
      </c>
      <c r="E14" s="43">
        <v>0</v>
      </c>
      <c r="F14" s="48">
        <f>SUM(B6*E14)/20</f>
        <v>0</v>
      </c>
      <c r="G14" s="39"/>
      <c r="H14" s="34"/>
      <c r="I14" s="34"/>
    </row>
    <row r="15" spans="2:9" ht="34.5" customHeight="1">
      <c r="B15" s="144"/>
      <c r="C15" s="47">
        <v>9</v>
      </c>
      <c r="D15" s="27" t="s">
        <v>163</v>
      </c>
      <c r="E15" s="43">
        <v>0</v>
      </c>
      <c r="F15" s="48">
        <f>SUM(B6*E15)/20</f>
        <v>0</v>
      </c>
      <c r="G15" s="39"/>
      <c r="H15" s="34"/>
      <c r="I15" s="34"/>
    </row>
    <row r="16" spans="2:9" ht="34.5" customHeight="1">
      <c r="B16" s="144"/>
      <c r="C16" s="47">
        <v>10</v>
      </c>
      <c r="D16" s="27" t="s">
        <v>161</v>
      </c>
      <c r="E16" s="43">
        <v>0</v>
      </c>
      <c r="F16" s="48">
        <f>SUM(B6*E16)/20</f>
        <v>0</v>
      </c>
      <c r="G16" s="39"/>
      <c r="H16" s="34"/>
      <c r="I16" s="34"/>
    </row>
    <row r="17" spans="2:11" ht="27" customHeight="1">
      <c r="B17" s="149"/>
      <c r="C17" s="58"/>
      <c r="D17" s="62" t="s">
        <v>3</v>
      </c>
      <c r="E17" s="63" t="s">
        <v>3</v>
      </c>
      <c r="F17" s="64">
        <f>SUM(F7:F16)</f>
        <v>0</v>
      </c>
      <c r="G17" s="50"/>
      <c r="H17" s="36"/>
      <c r="I17" s="37"/>
    </row>
    <row r="21" spans="2:11">
      <c r="D21" s="87"/>
      <c r="E21" s="88"/>
      <c r="F21" s="89"/>
      <c r="G21" s="89"/>
      <c r="H21" s="90"/>
      <c r="I21" s="90"/>
      <c r="J21" s="91"/>
      <c r="K21" s="90"/>
    </row>
    <row r="22" spans="2:11">
      <c r="D22" s="12"/>
      <c r="F22" s="89"/>
      <c r="G22" s="92"/>
      <c r="H22" s="91" t="s">
        <v>80</v>
      </c>
      <c r="I22" s="90"/>
      <c r="J22" s="93"/>
      <c r="K22" s="90"/>
    </row>
    <row r="23" spans="2:11">
      <c r="D23" s="87"/>
      <c r="E23" s="88" t="s">
        <v>79</v>
      </c>
      <c r="F23" s="94"/>
      <c r="G23" s="94"/>
      <c r="H23" s="93" t="s">
        <v>52</v>
      </c>
      <c r="I23" s="94"/>
      <c r="J23" s="93"/>
      <c r="K23" s="94"/>
    </row>
    <row r="24" spans="2:11">
      <c r="D24" s="87"/>
      <c r="E24" s="12"/>
      <c r="F24" s="10"/>
      <c r="G24" s="10"/>
      <c r="H24" s="89"/>
      <c r="I24" s="94"/>
      <c r="J24" s="95"/>
      <c r="K24" s="94"/>
    </row>
    <row r="25" spans="2:11">
      <c r="D25" s="87"/>
      <c r="E25" s="87"/>
      <c r="F25" s="94"/>
      <c r="G25" s="94"/>
      <c r="H25" s="89"/>
      <c r="I25" s="94"/>
      <c r="J25" s="95"/>
      <c r="K25" s="94"/>
    </row>
    <row r="26" spans="2:11">
      <c r="D26" s="87"/>
      <c r="E26" s="87"/>
      <c r="F26" s="94"/>
      <c r="G26" s="94"/>
      <c r="H26" s="89"/>
      <c r="I26" s="94"/>
      <c r="J26" s="95"/>
      <c r="K26" s="94"/>
    </row>
    <row r="27" spans="2:11">
      <c r="D27" s="87"/>
      <c r="E27" s="96" t="s">
        <v>81</v>
      </c>
      <c r="F27" s="94"/>
      <c r="G27" s="94"/>
      <c r="H27" s="97" t="s">
        <v>81</v>
      </c>
      <c r="I27" s="94"/>
      <c r="J27" s="97"/>
      <c r="K27" s="94"/>
    </row>
    <row r="28" spans="2:11">
      <c r="D28" s="87"/>
      <c r="E28" s="87"/>
      <c r="F28" s="94"/>
      <c r="G28" s="94"/>
      <c r="H28" s="88" t="s">
        <v>82</v>
      </c>
      <c r="I28" s="94"/>
      <c r="J28" s="94"/>
      <c r="K28" s="94"/>
    </row>
    <row r="29" spans="2:11">
      <c r="D29" s="87"/>
      <c r="E29" s="87"/>
      <c r="F29" s="94"/>
      <c r="G29" s="94"/>
      <c r="H29" s="94"/>
      <c r="I29" s="94"/>
      <c r="J29" s="94"/>
      <c r="K29" s="94"/>
    </row>
    <row r="30" spans="2:11">
      <c r="D30" s="87"/>
      <c r="E30" s="87"/>
      <c r="F30" s="94"/>
      <c r="G30" s="94"/>
      <c r="H30" s="94"/>
      <c r="I30" s="94"/>
      <c r="J30" s="94"/>
      <c r="K30" s="94"/>
    </row>
    <row r="31" spans="2:11">
      <c r="D31" s="87"/>
      <c r="E31" s="87"/>
      <c r="F31" s="94"/>
      <c r="G31" s="94"/>
      <c r="H31" s="94"/>
      <c r="I31" s="94"/>
      <c r="J31" s="94"/>
      <c r="K31" s="94"/>
    </row>
    <row r="32" spans="2:11">
      <c r="D32" s="87"/>
      <c r="E32" s="87"/>
      <c r="F32" s="94"/>
      <c r="G32" s="94"/>
      <c r="H32" s="94"/>
      <c r="I32" s="94"/>
      <c r="J32" s="94"/>
      <c r="K32" s="94"/>
    </row>
    <row r="33" spans="4:11">
      <c r="D33" s="87"/>
      <c r="E33" s="87"/>
      <c r="F33" s="94"/>
      <c r="G33" s="94"/>
      <c r="H33" s="94"/>
      <c r="I33" s="94"/>
      <c r="J33" s="94"/>
      <c r="K33" s="94"/>
    </row>
  </sheetData>
  <mergeCells count="4">
    <mergeCell ref="B6:B17"/>
    <mergeCell ref="B2:I2"/>
    <mergeCell ref="B3:I3"/>
    <mergeCell ref="C5:D5"/>
  </mergeCells>
  <conditionalFormatting sqref="E7:E16">
    <cfRule type="cellIs" dxfId="5" priority="1" operator="equal">
      <formula>2</formula>
    </cfRule>
    <cfRule type="cellIs" dxfId="4" priority="2" operator="equal">
      <formula>1</formula>
    </cfRule>
    <cfRule type="cellIs" dxfId="3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6"/>
  <sheetViews>
    <sheetView topLeftCell="A12" zoomScale="140" zoomScaleNormal="140" workbookViewId="0">
      <selection activeCell="I12" sqref="I12"/>
    </sheetView>
  </sheetViews>
  <sheetFormatPr defaultColWidth="8.85546875" defaultRowHeight="15"/>
  <cols>
    <col min="2" max="2" width="12.42578125" customWidth="1"/>
    <col min="3" max="3" width="38.5703125" customWidth="1"/>
    <col min="4" max="4" width="11.85546875" customWidth="1"/>
    <col min="5" max="5" width="12.85546875"/>
  </cols>
  <sheetData>
    <row r="1" spans="2:5">
      <c r="B1" s="157" t="s">
        <v>59</v>
      </c>
      <c r="C1" s="157"/>
      <c r="D1" s="157"/>
      <c r="E1" s="157"/>
    </row>
    <row r="3" spans="2:5">
      <c r="B3" s="1" t="s">
        <v>13</v>
      </c>
      <c r="C3" s="2" t="s">
        <v>14</v>
      </c>
      <c r="D3" s="3" t="s">
        <v>15</v>
      </c>
      <c r="E3" s="4" t="s">
        <v>16</v>
      </c>
    </row>
    <row r="4" spans="2:5">
      <c r="B4" s="5">
        <v>1</v>
      </c>
      <c r="C4" s="98" t="s">
        <v>49</v>
      </c>
      <c r="D4" s="20">
        <v>0.2</v>
      </c>
      <c r="E4" s="21">
        <f>INFRASTRUKTUR!F49</f>
        <v>0</v>
      </c>
    </row>
    <row r="5" spans="2:5">
      <c r="B5" s="6">
        <v>2</v>
      </c>
      <c r="C5" s="129" t="s">
        <v>88</v>
      </c>
      <c r="D5" s="17">
        <v>0.2</v>
      </c>
      <c r="E5" s="22">
        <f>KEAMANAN!F33</f>
        <v>0</v>
      </c>
    </row>
    <row r="6" spans="2:5">
      <c r="B6" s="5">
        <v>3</v>
      </c>
      <c r="C6" s="111" t="s">
        <v>57</v>
      </c>
      <c r="D6" s="17">
        <v>0.25</v>
      </c>
      <c r="E6" s="22">
        <f>KESELAMATAN!F35</f>
        <v>0</v>
      </c>
    </row>
    <row r="7" spans="2:5">
      <c r="B7" s="6">
        <v>4</v>
      </c>
      <c r="C7" s="129" t="s">
        <v>56</v>
      </c>
      <c r="D7" s="17">
        <v>0.1</v>
      </c>
      <c r="E7" s="99">
        <f>KESEHATAN!F27</f>
        <v>0</v>
      </c>
    </row>
    <row r="8" spans="2:5">
      <c r="B8" s="5">
        <v>5</v>
      </c>
      <c r="C8" s="130" t="s">
        <v>164</v>
      </c>
      <c r="D8" s="17">
        <v>0.15</v>
      </c>
      <c r="E8" s="99">
        <f>'SISTEM PAM'!F40</f>
        <v>0</v>
      </c>
    </row>
    <row r="9" spans="2:5">
      <c r="B9" s="6">
        <v>6</v>
      </c>
      <c r="C9" s="98" t="s">
        <v>58</v>
      </c>
      <c r="D9" s="18">
        <v>0.1</v>
      </c>
      <c r="E9" s="23">
        <f>INFORMASI!F17</f>
        <v>0</v>
      </c>
    </row>
    <row r="10" spans="2:5">
      <c r="B10" s="155" t="s">
        <v>17</v>
      </c>
      <c r="C10" s="156"/>
      <c r="D10" s="19">
        <f>SUM(D4:D9)</f>
        <v>1</v>
      </c>
      <c r="E10" s="8">
        <f>SUM(E4:E9)</f>
        <v>0</v>
      </c>
    </row>
    <row r="11" spans="2:5">
      <c r="B11" s="155" t="s">
        <v>18</v>
      </c>
      <c r="C11" s="156"/>
      <c r="D11" s="7"/>
      <c r="E11" s="8" t="str">
        <f>IF(E10&lt;55%,"Kurang",IF(E10&lt;70%,"Perunggu",IF(E10&lt;85%,"Perak","Emas")))</f>
        <v>Kurang</v>
      </c>
    </row>
    <row r="12" spans="2:5">
      <c r="B12" s="9"/>
      <c r="C12" s="10"/>
      <c r="D12" s="11"/>
      <c r="E12" s="11"/>
    </row>
    <row r="13" spans="2:5">
      <c r="B13" s="12" t="s">
        <v>5</v>
      </c>
      <c r="C13" s="10" t="s">
        <v>6</v>
      </c>
    </row>
    <row r="14" spans="2:5">
      <c r="B14" s="12" t="s">
        <v>7</v>
      </c>
      <c r="C14" s="10" t="s">
        <v>8</v>
      </c>
    </row>
    <row r="15" spans="2:5">
      <c r="B15" s="12" t="s">
        <v>9</v>
      </c>
      <c r="C15" s="10" t="s">
        <v>10</v>
      </c>
    </row>
    <row r="16" spans="2:5">
      <c r="B16" s="12" t="s">
        <v>11</v>
      </c>
      <c r="C16" s="10" t="s">
        <v>12</v>
      </c>
    </row>
  </sheetData>
  <mergeCells count="3">
    <mergeCell ref="B10:C10"/>
    <mergeCell ref="B11:C11"/>
    <mergeCell ref="B1:E1"/>
  </mergeCells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CFC812C494B4C83B32C38227E64E9" ma:contentTypeVersion="7" ma:contentTypeDescription="Create a new document." ma:contentTypeScope="" ma:versionID="6850fd297e14337ffebaf0a869af0535">
  <xsd:schema xmlns:xsd="http://www.w3.org/2001/XMLSchema" xmlns:xs="http://www.w3.org/2001/XMLSchema" xmlns:p="http://schemas.microsoft.com/office/2006/metadata/properties" xmlns:ns2="ff8a969b-967c-4ba8-8cb3-7816d423677c" targetNamespace="http://schemas.microsoft.com/office/2006/metadata/properties" ma:root="true" ma:fieldsID="1f1b24274ccec23c621fc8c11c81a7b8" ns2:_="">
    <xsd:import namespace="ff8a969b-967c-4ba8-8cb3-7816d4236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969b-967c-4ba8-8cb3-7816d4236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FDD65-3B12-4ED8-8189-713760D418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8F0E01-6822-4D1A-8178-99B1B9EB30C6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ff8a969b-967c-4ba8-8cb3-7816d423677c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347639F-31E5-4BF9-B562-001577370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969b-967c-4ba8-8cb3-7816d4236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INFRASTRUKTUR</vt:lpstr>
      <vt:lpstr>KEAMANAN</vt:lpstr>
      <vt:lpstr>KESELAMATAN</vt:lpstr>
      <vt:lpstr>KESEHATAN</vt:lpstr>
      <vt:lpstr>SISTEM PAM</vt:lpstr>
      <vt:lpstr>INFORMASI</vt:lpstr>
      <vt:lpstr>Skor Final</vt:lpstr>
      <vt:lpstr>'Skor Final'!Print_Area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rasyid</dc:creator>
  <cp:lastModifiedBy>User</cp:lastModifiedBy>
  <cp:revision/>
  <cp:lastPrinted>2024-10-28T00:45:48Z</cp:lastPrinted>
  <dcterms:created xsi:type="dcterms:W3CDTF">2019-10-24T08:51:00Z</dcterms:created>
  <dcterms:modified xsi:type="dcterms:W3CDTF">2025-12-15T02:45:09Z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  <property fmtid="{D5CDD505-2E9C-101B-9397-08002B2CF9AE}" pid="3" name="ContentTypeId">
    <vt:lpwstr>0x0101005D8CFC812C494B4C83B32C38227E64E9</vt:lpwstr>
  </property>
</Properties>
</file>